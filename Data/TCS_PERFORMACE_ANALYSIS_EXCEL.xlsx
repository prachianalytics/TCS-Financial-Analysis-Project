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rachi Agarwal\Downloads\"/>
    </mc:Choice>
  </mc:AlternateContent>
  <xr:revisionPtr revIDLastSave="0" documentId="8_{2C7D88BD-FC0C-43C3-A7AB-3D3DCBF7E194}" xr6:coauthVersionLast="47" xr6:coauthVersionMax="47" xr10:uidLastSave="{00000000-0000-0000-0000-000000000000}"/>
  <bookViews>
    <workbookView xWindow="-108" yWindow="-108" windowWidth="23256" windowHeight="12456" activeTab="2" xr2:uid="{00000000-000D-0000-FFFF-FFFF00000000}"/>
  </bookViews>
  <sheets>
    <sheet name="Raw_Data" sheetId="6" r:id="rId1"/>
    <sheet name="Strategic_Insights" sheetId="1" r:id="rId2"/>
    <sheet name="Risk_Flags" sheetId="2" r:id="rId3"/>
    <sheet name="Statistical_Analysis " sheetId="10" r:id="rId4"/>
    <sheet name="Trend_Analysis" sheetId="4" r:id="rId5"/>
    <sheet name="Ratio_Analysis" sheetId="5" r:id="rId6"/>
    <sheet name="KPI_Dashboard" sheetId="7" r:id="rId7"/>
    <sheet name="KPI_Overview" sheetId="9" r:id="rId8"/>
  </sheets>
  <externalReferences>
    <externalReference r:id="rId9"/>
  </externalReferences>
  <definedNames>
    <definedName name="_xlnm.Print_Area" localSheetId="7">KPI_Overview!$B$19</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0" l="1"/>
  <c r="E26" i="10"/>
  <c r="D26" i="10"/>
  <c r="F25" i="10"/>
  <c r="E25" i="10"/>
  <c r="D25" i="10"/>
  <c r="D15" i="10"/>
  <c r="D20" i="10" s="1"/>
  <c r="C15" i="10"/>
  <c r="C20" i="10" s="1"/>
  <c r="B15" i="10"/>
  <c r="D14" i="10"/>
  <c r="D19" i="10" s="1"/>
  <c r="C14" i="10"/>
  <c r="C19" i="10" s="1"/>
  <c r="B14" i="10"/>
  <c r="E9" i="10"/>
  <c r="D9" i="10"/>
  <c r="C9" i="10"/>
  <c r="B9" i="10"/>
  <c r="E8" i="10"/>
  <c r="D8" i="10"/>
  <c r="C8" i="10"/>
  <c r="B8" i="10"/>
  <c r="E7" i="10"/>
  <c r="D7" i="10"/>
  <c r="C7" i="10"/>
  <c r="B7" i="10"/>
  <c r="E6" i="10"/>
  <c r="D6" i="10"/>
  <c r="C6" i="10"/>
  <c r="B6" i="10"/>
  <c r="F23" i="7"/>
  <c r="E23" i="7"/>
  <c r="D23" i="7"/>
  <c r="C23" i="7"/>
  <c r="B23" i="7"/>
  <c r="F22" i="7"/>
  <c r="E22" i="7"/>
  <c r="D22" i="7"/>
  <c r="C22" i="7"/>
  <c r="B22" i="7"/>
  <c r="F21" i="7"/>
  <c r="E21" i="7"/>
  <c r="D21" i="7"/>
  <c r="C21" i="7"/>
  <c r="B21" i="7"/>
  <c r="F20" i="7"/>
  <c r="E20" i="7"/>
  <c r="D20" i="7"/>
  <c r="C20" i="7"/>
  <c r="B20" i="7"/>
  <c r="F19" i="7"/>
  <c r="E19" i="7"/>
  <c r="D19" i="7"/>
  <c r="C19" i="7"/>
  <c r="B19" i="7"/>
  <c r="F15" i="7"/>
  <c r="E15" i="7"/>
  <c r="D15" i="7"/>
  <c r="C15" i="7"/>
  <c r="B15" i="7"/>
  <c r="F14" i="7"/>
  <c r="E14" i="7"/>
  <c r="D14" i="7"/>
  <c r="C14" i="7"/>
  <c r="B14" i="7"/>
  <c r="F13" i="7"/>
  <c r="E13" i="7"/>
  <c r="D13" i="7"/>
  <c r="C13" i="7"/>
  <c r="B13" i="7"/>
  <c r="F12" i="7"/>
  <c r="E12" i="7"/>
  <c r="D12" i="7"/>
  <c r="C12" i="7"/>
  <c r="B12" i="7"/>
  <c r="F11" i="7"/>
  <c r="E11" i="7"/>
  <c r="D11" i="7"/>
  <c r="C11" i="7"/>
  <c r="B11" i="7"/>
  <c r="F10" i="7"/>
  <c r="E10" i="7"/>
  <c r="D10" i="7"/>
  <c r="C10" i="7"/>
  <c r="B10" i="7"/>
  <c r="M5" i="7"/>
  <c r="K5" i="7"/>
  <c r="I5" i="7"/>
  <c r="G5" i="7"/>
  <c r="E5" i="7"/>
  <c r="C5" i="7"/>
  <c r="A5" i="7"/>
  <c r="G35" i="6"/>
  <c r="G34" i="6"/>
  <c r="G31" i="6"/>
  <c r="G30" i="6"/>
  <c r="G29" i="6"/>
  <c r="G28" i="6"/>
  <c r="G25" i="6"/>
  <c r="G24" i="6"/>
  <c r="G23" i="6"/>
  <c r="G22" i="6"/>
  <c r="G21" i="6"/>
  <c r="G20" i="6"/>
  <c r="G19" i="6"/>
  <c r="G18" i="6"/>
  <c r="G17" i="6"/>
  <c r="G16" i="6"/>
  <c r="G13" i="6"/>
  <c r="G12" i="6"/>
  <c r="G11" i="6"/>
  <c r="G10" i="6"/>
  <c r="G9" i="6"/>
  <c r="G8" i="6"/>
  <c r="G7" i="6"/>
  <c r="G6" i="6"/>
  <c r="G5" i="6"/>
  <c r="F39" i="5"/>
  <c r="E39" i="5"/>
  <c r="D39" i="5"/>
  <c r="C39" i="5"/>
  <c r="B39" i="5"/>
  <c r="F38" i="5"/>
  <c r="E38" i="5"/>
  <c r="D38" i="5"/>
  <c r="C38" i="5"/>
  <c r="B38" i="5"/>
  <c r="F37" i="5"/>
  <c r="E37" i="5"/>
  <c r="D37" i="5"/>
  <c r="C37" i="5"/>
  <c r="B37" i="5"/>
  <c r="F34" i="5"/>
  <c r="E34" i="5"/>
  <c r="D34" i="5"/>
  <c r="C34" i="5"/>
  <c r="B34" i="5"/>
  <c r="F33" i="5"/>
  <c r="E33" i="5"/>
  <c r="D33" i="5"/>
  <c r="C33" i="5"/>
  <c r="B33" i="5"/>
  <c r="F32" i="5"/>
  <c r="E32" i="5"/>
  <c r="D32" i="5"/>
  <c r="C32" i="5"/>
  <c r="B32" i="5"/>
  <c r="F31" i="5"/>
  <c r="E31" i="5"/>
  <c r="D31" i="5"/>
  <c r="C31" i="5"/>
  <c r="B31" i="5"/>
  <c r="F30" i="5"/>
  <c r="E30" i="5"/>
  <c r="D30" i="5"/>
  <c r="C30" i="5"/>
  <c r="B30" i="5"/>
  <c r="F27" i="5"/>
  <c r="E27" i="5"/>
  <c r="D27" i="5"/>
  <c r="C27" i="5"/>
  <c r="B27" i="5"/>
  <c r="F26" i="5"/>
  <c r="E26" i="5"/>
  <c r="D26" i="5"/>
  <c r="C26" i="5"/>
  <c r="B26" i="5"/>
  <c r="F25" i="5"/>
  <c r="E25" i="5"/>
  <c r="D25" i="5"/>
  <c r="C25" i="5"/>
  <c r="B25" i="5"/>
  <c r="F22" i="5"/>
  <c r="E22" i="5"/>
  <c r="D22" i="5"/>
  <c r="C22" i="5"/>
  <c r="B22" i="5"/>
  <c r="F21" i="5"/>
  <c r="E21" i="5"/>
  <c r="D21" i="5"/>
  <c r="C21" i="5"/>
  <c r="B21" i="5"/>
  <c r="F20" i="5"/>
  <c r="E20" i="5"/>
  <c r="D20" i="5"/>
  <c r="C20" i="5"/>
  <c r="B20" i="5"/>
  <c r="F17" i="5"/>
  <c r="E17" i="5"/>
  <c r="D17" i="5"/>
  <c r="C17" i="5"/>
  <c r="B17" i="5"/>
  <c r="F16" i="5"/>
  <c r="E16" i="5"/>
  <c r="D16" i="5"/>
  <c r="C16" i="5"/>
  <c r="B16" i="5"/>
  <c r="F15" i="5"/>
  <c r="E15" i="5"/>
  <c r="D15" i="5"/>
  <c r="C15" i="5"/>
  <c r="B15" i="5"/>
  <c r="F12" i="5"/>
  <c r="E12" i="5"/>
  <c r="D12" i="5"/>
  <c r="C12" i="5"/>
  <c r="B12" i="5"/>
  <c r="F11" i="5"/>
  <c r="E11" i="5"/>
  <c r="D11" i="5"/>
  <c r="C11" i="5"/>
  <c r="B11" i="5"/>
  <c r="F10" i="5"/>
  <c r="E10" i="5"/>
  <c r="D10" i="5"/>
  <c r="C10" i="5"/>
  <c r="B10" i="5"/>
  <c r="F9" i="5"/>
  <c r="E9" i="5"/>
  <c r="D9" i="5"/>
  <c r="C9" i="5"/>
  <c r="B9" i="5"/>
  <c r="F8" i="5"/>
  <c r="E8" i="5"/>
  <c r="D8" i="5"/>
  <c r="C8" i="5"/>
  <c r="B8" i="5"/>
  <c r="F7" i="5"/>
  <c r="E7" i="5"/>
  <c r="D7" i="5"/>
  <c r="C7" i="5"/>
  <c r="B7" i="5"/>
  <c r="F6" i="5"/>
  <c r="E6" i="5"/>
  <c r="D6" i="5"/>
  <c r="C6" i="5"/>
  <c r="B6" i="5"/>
  <c r="F5" i="5"/>
  <c r="E5" i="5"/>
  <c r="D5" i="5"/>
  <c r="C5" i="5"/>
  <c r="B5" i="5"/>
  <c r="J15" i="4"/>
  <c r="G15" i="4"/>
  <c r="D15" i="4"/>
  <c r="A15" i="4"/>
  <c r="K10" i="4"/>
  <c r="J10" i="4"/>
  <c r="I10" i="4"/>
  <c r="H10" i="4"/>
  <c r="G10" i="4"/>
  <c r="F10" i="4"/>
  <c r="E10" i="4"/>
  <c r="D10" i="4"/>
  <c r="C10" i="4"/>
  <c r="B10" i="4"/>
  <c r="K9" i="4"/>
  <c r="J9" i="4"/>
  <c r="I9" i="4"/>
  <c r="H9" i="4"/>
  <c r="G9" i="4"/>
  <c r="F9" i="4"/>
  <c r="E9" i="4"/>
  <c r="D9" i="4"/>
  <c r="C9" i="4"/>
  <c r="B9" i="4"/>
  <c r="K8" i="4"/>
  <c r="J8" i="4"/>
  <c r="I8" i="4"/>
  <c r="H8" i="4"/>
  <c r="G8" i="4"/>
  <c r="F8" i="4"/>
  <c r="E8" i="4"/>
  <c r="D8" i="4"/>
  <c r="C8" i="4"/>
  <c r="B8" i="4"/>
  <c r="K7" i="4"/>
  <c r="J7" i="4"/>
  <c r="I7" i="4"/>
  <c r="H7" i="4"/>
  <c r="G7" i="4"/>
  <c r="F7" i="4"/>
  <c r="E7" i="4"/>
  <c r="D7" i="4"/>
  <c r="C7" i="4"/>
  <c r="B7" i="4"/>
  <c r="K6" i="4"/>
  <c r="J6" i="4"/>
  <c r="I6" i="4"/>
  <c r="H6" i="4"/>
  <c r="G6" i="4"/>
  <c r="F6" i="4"/>
  <c r="E6" i="4"/>
  <c r="D6" i="4"/>
  <c r="C6" i="4"/>
  <c r="B6" i="4"/>
  <c r="K5" i="4"/>
  <c r="J5" i="4"/>
  <c r="I5" i="4"/>
  <c r="H5" i="4"/>
  <c r="G5" i="4"/>
  <c r="F5" i="4"/>
  <c r="E5" i="4"/>
  <c r="D5" i="4"/>
  <c r="C5" i="4"/>
  <c r="B5" i="4"/>
  <c r="K4" i="4"/>
  <c r="J4" i="4"/>
  <c r="I4" i="4"/>
  <c r="H4" i="4"/>
  <c r="G4" i="4"/>
  <c r="F4" i="4"/>
  <c r="E4" i="4"/>
  <c r="D4" i="4"/>
  <c r="C4" i="4"/>
  <c r="B4" i="4"/>
  <c r="F11" i="2"/>
  <c r="E11" i="2"/>
  <c r="D11" i="2"/>
  <c r="C11" i="2"/>
  <c r="B11" i="2"/>
  <c r="F10" i="2"/>
  <c r="E10" i="2"/>
  <c r="D10" i="2"/>
  <c r="C10" i="2"/>
  <c r="B10" i="2"/>
  <c r="F9" i="2"/>
  <c r="E9" i="2"/>
  <c r="D9" i="2"/>
  <c r="C9" i="2"/>
  <c r="B9" i="2"/>
  <c r="F8" i="2"/>
  <c r="E8" i="2"/>
  <c r="D8" i="2"/>
  <c r="C8" i="2"/>
  <c r="B8" i="2"/>
  <c r="F7" i="2"/>
  <c r="E7" i="2"/>
  <c r="D7" i="2"/>
  <c r="C7" i="2"/>
  <c r="B7" i="2"/>
  <c r="F6" i="2"/>
  <c r="E6" i="2"/>
  <c r="D6" i="2"/>
  <c r="C6" i="2"/>
  <c r="B6" i="2"/>
  <c r="F5" i="2"/>
  <c r="E5" i="2"/>
  <c r="D5" i="2"/>
  <c r="C5" i="2"/>
  <c r="B5" i="2"/>
  <c r="F4" i="2"/>
  <c r="E4" i="2"/>
  <c r="D4" i="2"/>
  <c r="C4" i="2"/>
  <c r="B4" i="2"/>
  <c r="D4" i="9"/>
  <c r="A4" i="9"/>
  <c r="D8" i="9"/>
  <c r="H8" i="9"/>
  <c r="A8" i="9"/>
  <c r="H4" i="9"/>
  <c r="E15" i="10" l="1"/>
  <c r="B20" i="10"/>
  <c r="F15" i="10"/>
  <c r="F20" i="10" s="1"/>
  <c r="E14" i="10"/>
  <c r="F14" i="10"/>
  <c r="F19" i="10" s="1"/>
  <c r="B19" i="10"/>
  <c r="E20" i="10" l="1"/>
  <c r="G20" i="10"/>
  <c r="G19" i="10"/>
  <c r="E19" i="10"/>
</calcChain>
</file>

<file path=xl/sharedStrings.xml><?xml version="1.0" encoding="utf-8"?>
<sst xmlns="http://schemas.openxmlformats.org/spreadsheetml/2006/main" count="296" uniqueCount="233">
  <si>
    <t>TATA CONSULTANCY SERVICES LTD  |  Strategic Insights &amp; Investment Recommendations</t>
  </si>
  <si>
    <t>Based on FY2021–FY2025 financial analysis  |  Recommendations tailored for CXOs, Investors and Operations Management</t>
  </si>
  <si>
    <t>FOR CXOs  —  Strategic Direction &amp; Long-Term Positioning</t>
  </si>
  <si>
    <t>Revenue Re-acceleration</t>
  </si>
  <si>
    <t>Revenue CAGR of 11.7% over the period is solid but growth has decelerated to 5.9% in FY2025. Management should prioritise AI-embedded service lines, GenAI platforms, and hyperscaler partnerships to rebuild a 13-15% growth trajectory over FY2026-28.</t>
  </si>
  <si>
    <t>Margin Preservation</t>
  </si>
  <si>
    <t>Operating margins have held in the 25-27% band despite wage inflation — a testament to offshoring efficiency. Continued automation and AI-assisted delivery will be critical to protect margins as onshore delivery mix increases.</t>
  </si>
  <si>
    <t>Capital Return Policy</t>
  </si>
  <si>
    <t>TCS returned ₹45,612 Cr in dividends in FY2025 alone, underscoring a shareholder-first capital allocation philosophy. The board should continue buybacks alongside dividends to optimise the capital structure and support EPS accretion.</t>
  </si>
  <si>
    <t>Talent Strategy</t>
  </si>
  <si>
    <t>Employee costs represent approximately 57% of revenue. The shift toward AI-augmented delivery will require significant upskilling investment in GenAI, cloud-native development and cybersecurity — not headcount reduction, but productivity enhancement.</t>
  </si>
  <si>
    <t>FOR INVESTORS  —  Valuation, Returns &amp; Risk Assessment</t>
  </si>
  <si>
    <t>Recommendation: Hold / Accumulate on Dips</t>
  </si>
  <si>
    <t>TCS trades at approximately 22-26x trailing P/E, offering moderate valuation comfort relative to IT peers. The combination of a 3-4% dividend yield and steady EPS growth (~11% CAGR FY21-25) makes this a quality compounder for long-term portfolios.</t>
  </si>
  <si>
    <t>Earnings Quality — High Confidence</t>
  </si>
  <si>
    <t>The CFO/PAT ratio consistently exceeds 1.0x across all five years, confirming profits are fully cash-backed. There is no evidence of revenue recognition aggression or accrual manipulation — a strong positive for fundamental investors.</t>
  </si>
  <si>
    <t>Balance Sheet — Fortress Grade</t>
  </si>
  <si>
    <t>With D/E below 0.12x and reserves of ₹94,394 Cr in FY2025, TCS possesses financial resilience to weather prolonged revenue headwinds, make strategic acquisitions, or absorb a significant capital return programme without stress.</t>
  </si>
  <si>
    <t>Key Risk — Client &amp; Geography Concentration</t>
  </si>
  <si>
    <t>North America contributes approximately 55% of revenues, and BFSI vertical approximately 40%. A sustained US technology spending slowdown — particularly in discretionary IT — poses the primary revenue risk for the near term.</t>
  </si>
  <si>
    <t>FOR MANAGEMENT  —  Operational Performance Priorities</t>
  </si>
  <si>
    <t>Receivables Management</t>
  </si>
  <si>
    <t>Debtor days have increased from 67 to 84 over the five-year period, outpacing revenue growth. Targeted collections improvement in the Europe and BFSI verticals, combined with tighter contract payment terms, should reduce DSO to below 75 days.</t>
  </si>
  <si>
    <t>Cash Deployment Efficiency</t>
  </si>
  <si>
    <t>With CFO of ₹48,908 Cr in FY2025 and limited capital expenditure requirements, TCS generates substantial free cash flow. Evaluating disciplined M&amp;A in digital engineering, data analytics, or cybersecurity would broaden capabilities and create new growth vectors.</t>
  </si>
  <si>
    <t>Client Diversification</t>
  </si>
  <si>
    <t>Revenue dependence on top-10 clients at approximately 32% creates sensitivity to individual client budget cycles. Building a deeper mid-market client base across Manufacturing, Healthcare and Energy verticals would structurally reduce this concentration risk.</t>
  </si>
  <si>
    <t>Operational Leverage Opportunity</t>
  </si>
  <si>
    <t>The current cost structure still has room for further leverage. Cloud migration of internal infrastructure, AI-assisted project scoping and testing automation are near-term levers that could contribute 50-100 basis points of margin improvement annually.</t>
  </si>
  <si>
    <t>TATA CONSULTANCY SERVICES LTD  |  Risk Indicators &amp; Financial Health Monitor  |  FY2021 – FY2025</t>
  </si>
  <si>
    <t>Risk Indicator</t>
  </si>
  <si>
    <t>FY2021</t>
  </si>
  <si>
    <t>FY2022</t>
  </si>
  <si>
    <t>FY2023</t>
  </si>
  <si>
    <t>FY2024</t>
  </si>
  <si>
    <t>FY2025</t>
  </si>
  <si>
    <t>Threshold Reference</t>
  </si>
  <si>
    <t>Debt-to-Equity Ratio</t>
  </si>
  <si>
    <t>Critical: &gt;1.0  |  Caution: 0.5–1.0  |  Safe: &lt;0.5</t>
  </si>
  <si>
    <t>Interest Coverage Ratio</t>
  </si>
  <si>
    <t>Critical: &lt;3  |  Adequate: 3–5  |  Strong: &gt;5</t>
  </si>
  <si>
    <t>Net Profit Margin</t>
  </si>
  <si>
    <t>Weak: &lt;15%  |  Adequate: 15–18%  |  Strong: &gt;18%</t>
  </si>
  <si>
    <t>Revenue Growth (YoY)</t>
  </si>
  <si>
    <t>Declining: &lt;5%  |  Moderate: 5–10%  |  Strong: &gt;10%</t>
  </si>
  <si>
    <t>CFO / Net Profit (Quality)</t>
  </si>
  <si>
    <t>Concern: &lt;0.8  |  Acceptable: 0.8–1.0  |  Excellent: &gt;1.0</t>
  </si>
  <si>
    <t>Debtor Days (DSO)</t>
  </si>
  <si>
    <t>Slow: &gt;90  |  Moderate: 60–90  |  Efficient: &lt;60</t>
  </si>
  <si>
    <t>Dividend Payout Ratio</t>
  </si>
  <si>
    <t>Unsustainable: &gt;100%  |  Generous: 60–100%  |  Conservative: &lt;60%</t>
  </si>
  <si>
    <t>Borrowings Growth (YoY)</t>
  </si>
  <si>
    <t>High risk: &gt;20%  |  Moderate: 10–20%  |  Low risk: &lt;10%</t>
  </si>
  <si>
    <t>KEY OBSERVATIONS  —  Risk Assessment Summary</t>
  </si>
  <si>
    <t>Balance Sheet Strength</t>
  </si>
  <si>
    <t>TCS maintains a near debt-free balance sheet with D/E consistently below 0.12x across the analysis period — well below the 0.5x safety threshold for investment-grade companies.</t>
  </si>
  <si>
    <t>Earnings Quality</t>
  </si>
  <si>
    <t>CFO/PAT ratio exceeds 1.0x in all five years, confirming that reported profits are fully backed by operating cash flows. This eliminates concerns of earnings manipulation or aggressive accruals.</t>
  </si>
  <si>
    <t>Receivables Accumulation</t>
  </si>
  <si>
    <t>Debtor days have risen from ~67 days in FY2021 to ~84 days in FY2025, outpacing revenue growth. This warrants monitoring as a potential early indicator of collection slowdowns.</t>
  </si>
  <si>
    <t>Growth Deceleration</t>
  </si>
  <si>
    <t>Revenue growth has moderated from 16.8% in FY2022 to 5.9% in FY2025, reflecting broader IT spending caution in key markets (North America, BFSI). Not a red flag in isolation but a trend to track.</t>
  </si>
  <si>
    <t>Dividend Sustainability</t>
  </si>
  <si>
    <t>FY2023 dividend payout exceeded 100% of net profit due to a special dividend. This was a one-time capital return event funded by reserves — not a recurring cash flow concern.</t>
  </si>
  <si>
    <t>TATA CONSULTANCY SERVICES LTD  |  Statistical &amp; Predictive Analysis  |  FY2021–FY2025</t>
  </si>
  <si>
    <t>A.  CORRELATION MATRIX  —  Revenue, Net Profit, CFO, Borrowings</t>
  </si>
  <si>
    <t>Variable</t>
  </si>
  <si>
    <t>Revenue</t>
  </si>
  <si>
    <t>Net Profit</t>
  </si>
  <si>
    <t>CFO</t>
  </si>
  <si>
    <t>Borrowings</t>
  </si>
  <si>
    <t>B.  LINEAR REGRESSION MODEL  —  Y = m · X + b  |  X = Year Index (FY2021=1 … FY2025=5)</t>
  </si>
  <si>
    <t>Slope (m)</t>
  </si>
  <si>
    <t>Intercept (b)</t>
  </si>
  <si>
    <t>R² Value</t>
  </si>
  <si>
    <t>FY2026 Forecast (₹ Cr)</t>
  </si>
  <si>
    <t>FY2027 Forecast (₹ Cr)</t>
  </si>
  <si>
    <t>Interpretation</t>
  </si>
  <si>
    <t>Revenue (₹ Cr)</t>
  </si>
  <si>
    <t>Strong fit (R²≈0.97) — projection reliable as baseline</t>
  </si>
  <si>
    <t>Net Profit (₹ Cr)</t>
  </si>
  <si>
    <t>Very strong fit (R²≈0.98) — earnings trend highly predictable</t>
  </si>
  <si>
    <t>C.  FORECAST SUMMARY TABLE  —  Computed Values (Formula-Linked to Section B)</t>
  </si>
  <si>
    <t>R²</t>
  </si>
  <si>
    <t>YoY Growth Implied</t>
  </si>
  <si>
    <t>D.  3-YEAR MOVING AVERAGE  —  Revenue &amp; Net Profit  (AVERAGE of rolling 3-year window)</t>
  </si>
  <si>
    <t>Metric</t>
  </si>
  <si>
    <t>FY2023 (3-Yr MA)</t>
  </si>
  <si>
    <t>FY2024 (3-Yr MA)</t>
  </si>
  <si>
    <t>FY2025 (3-Yr MA)</t>
  </si>
  <si>
    <t>Trend</t>
  </si>
  <si>
    <t>Comment</t>
  </si>
  <si>
    <t>Revenue — 3-Yr Moving Avg</t>
  </si>
  <si>
    <t>N/A</t>
  </si>
  <si>
    <t>Rising</t>
  </si>
  <si>
    <t>Steady revenue scale-up — no volatility</t>
  </si>
  <si>
    <t>Net Profit — 3-Yr Moving Avg</t>
  </si>
  <si>
    <t>Consistent earnings compounding</t>
  </si>
  <si>
    <t>TATA CONSULTANCY SERVICES LTD  |  Year-on-Year Trend Analysis  |  FY2021 – FY2025</t>
  </si>
  <si>
    <t>Δ = Absolute change in ₹ Cr  |  % = Percentage change  |  Green-shaded columns indicate growth years  |  CAGR computed over 4-year base period</t>
  </si>
  <si>
    <t>FY2021 Base</t>
  </si>
  <si>
    <t>FY2022 Δ</t>
  </si>
  <si>
    <t>FY2022 %</t>
  </si>
  <si>
    <t>FY2023 Δ</t>
  </si>
  <si>
    <t>FY2023 %</t>
  </si>
  <si>
    <t>FY2024 Δ</t>
  </si>
  <si>
    <t>FY2024 %</t>
  </si>
  <si>
    <t>FY2025 Δ</t>
  </si>
  <si>
    <t>FY2025 %</t>
  </si>
  <si>
    <t>5-Yr CAGR</t>
  </si>
  <si>
    <t>Revenue (Net Sales)</t>
  </si>
  <si>
    <t>Net Profit (PAT)</t>
  </si>
  <si>
    <t>Cash from Operations</t>
  </si>
  <si>
    <t>Total Assets</t>
  </si>
  <si>
    <t>Trade Receivables</t>
  </si>
  <si>
    <t>Total Borrowings</t>
  </si>
  <si>
    <t>Cash &amp; Bank Balances</t>
  </si>
  <si>
    <t>5-YEAR CAGR SUMMARY  |  FY2021 to FY2025</t>
  </si>
  <si>
    <t>Revenue CAGR</t>
  </si>
  <si>
    <t>Net Profit CAGR</t>
  </si>
  <si>
    <t>CFO CAGR</t>
  </si>
  <si>
    <t>Total Assets CAGR</t>
  </si>
  <si>
    <t>TATA CONSULTANCY SERVICES LTD  |  Comprehensive Ratio Analysis  |  FY2021 – FY2025</t>
  </si>
  <si>
    <t>All ratios derived from Raw_Data sheet via Excel formulas  |  Industry benchmarks shown in Interpretation column</t>
  </si>
  <si>
    <t>Benchmark / Note</t>
  </si>
  <si>
    <t>PROFITABILITY RATIOS</t>
  </si>
  <si>
    <t>Revenue Growth %</t>
  </si>
  <si>
    <t>Target: &gt;10% annually for large-cap IT</t>
  </si>
  <si>
    <t>IT sector avg: ~18-22% | TCS consistently above</t>
  </si>
  <si>
    <t>Operating Profit Margin</t>
  </si>
  <si>
    <t>Reflects core operational efficiency</t>
  </si>
  <si>
    <t>EBITDA (₹ Cr)</t>
  </si>
  <si>
    <t>Earnings before interest, tax, depreciation</t>
  </si>
  <si>
    <t>EBITDA Margin</t>
  </si>
  <si>
    <t>IT sector benchmark: &gt;25%</t>
  </si>
  <si>
    <t>Return on Equity (ROE)</t>
  </si>
  <si>
    <t>&gt;25% = excellent | TCS among highest in IT</t>
  </si>
  <si>
    <t>Return on Capital Employed (ROCE)</t>
  </si>
  <si>
    <t>&gt;20% indicates strong capital efficiency</t>
  </si>
  <si>
    <t>Return on Assets (ROA)</t>
  </si>
  <si>
    <t>&gt;10% is strong for asset-light IT model</t>
  </si>
  <si>
    <t>LIQUIDITY RATIOS</t>
  </si>
  <si>
    <t>Current Ratio</t>
  </si>
  <si>
    <t>Ideal range: 1.5x – 3.0x</t>
  </si>
  <si>
    <t>Cash &amp; Equivalents (₹ Cr)</t>
  </si>
  <si>
    <t>Higher balance = stronger liquidity cushion</t>
  </si>
  <si>
    <t>CFO / Net Profit Ratio</t>
  </si>
  <si>
    <t>&gt;1.0x signals high earnings quality</t>
  </si>
  <si>
    <t>SOLVENCY RATIOS</t>
  </si>
  <si>
    <t>&lt;0.5x = low risk; &lt;0.1x = near debt-free</t>
  </si>
  <si>
    <t>&gt;5x = safe; TCS consistently &gt;50x</t>
  </si>
  <si>
    <t>Debt to Total Assets</t>
  </si>
  <si>
    <t>Lower is better | indicates financial stability</t>
  </si>
  <si>
    <t>EFFICIENCY RATIOS</t>
  </si>
  <si>
    <t>Days to collect receivables | &lt;60 is ideal for IT</t>
  </si>
  <si>
    <t>Asset Turnover Ratio</t>
  </si>
  <si>
    <t>Revenue generated per ₹ of assets deployed</t>
  </si>
  <si>
    <t>Receivables Turnover</t>
  </si>
  <si>
    <t>Times receivables collected in a year</t>
  </si>
  <si>
    <t>VALUATION / MARKET RATIOS</t>
  </si>
  <si>
    <t>Earnings Per Share — EPS (₹)</t>
  </si>
  <si>
    <t>Net profit attributable per equity share</t>
  </si>
  <si>
    <t>Price-to-Earnings (P/E)</t>
  </si>
  <si>
    <t>IT sector avg: 25-35x | premium = market confidence</t>
  </si>
  <si>
    <t>Market Capitalisation (₹ Cr)</t>
  </si>
  <si>
    <t>Total equity value at year-end</t>
  </si>
  <si>
    <t>% of profits returned to shareholders</t>
  </si>
  <si>
    <t>Price-to-Book (P/B)</t>
  </si>
  <si>
    <t>IT sector avg: 8-12x | reflects intangible value</t>
  </si>
  <si>
    <t>GROWTH METRICS</t>
  </si>
  <si>
    <t>Net Profit Growth (YoY)</t>
  </si>
  <si>
    <t>Consistent growth = compounding shareholder value</t>
  </si>
  <si>
    <t>EPS Growth (YoY)</t>
  </si>
  <si>
    <t>Should broadly track net profit growth</t>
  </si>
  <si>
    <t>CFO Growth (YoY)</t>
  </si>
  <si>
    <t>Consistent CFO growth = sustainable business</t>
  </si>
  <si>
    <t>TATA CONSULTANCY SERVICES LTD  |  Raw Financial Data  |  FY2021 – FY2025</t>
  </si>
  <si>
    <t>Particulars</t>
  </si>
  <si>
    <t>PROFIT &amp; LOSS STATEMENT</t>
  </si>
  <si>
    <t>Operating Expenses</t>
  </si>
  <si>
    <t>Other Income</t>
  </si>
  <si>
    <t>Depreciation &amp; Amortisation</t>
  </si>
  <si>
    <t>Interest / Finance Costs</t>
  </si>
  <si>
    <t>Profit Before Tax</t>
  </si>
  <si>
    <t>Tax Expense</t>
  </si>
  <si>
    <t>Dividend Paid</t>
  </si>
  <si>
    <t>BALANCE SHEET</t>
  </si>
  <si>
    <t>Equity Share Capital</t>
  </si>
  <si>
    <t>Reserves &amp; Surplus</t>
  </si>
  <si>
    <t>Other Liabilities</t>
  </si>
  <si>
    <t>Net Block (Fixed Assets)</t>
  </si>
  <si>
    <t>Investments</t>
  </si>
  <si>
    <t>Other Assets</t>
  </si>
  <si>
    <t>CASH FLOW STATEMENT</t>
  </si>
  <si>
    <t>Cash from Operations (CFO)</t>
  </si>
  <si>
    <t>Cash from Investing (CFI)</t>
  </si>
  <si>
    <t>Cash from Financing (CFF)</t>
  </si>
  <si>
    <t>Net Change in Cash</t>
  </si>
  <si>
    <t>MARKET DATA</t>
  </si>
  <si>
    <t>Stock Price at Year-End (₹)</t>
  </si>
  <si>
    <t>Shares Outstanding (Crores)</t>
  </si>
  <si>
    <t>TATA CONSULTANCY SERVICES LTD  |  Executive KPI Dashboard  |  FY2021 – FY2025</t>
  </si>
  <si>
    <t>NSE: TCS  |  Sector: Information Technology  |  Benchmark: BSE IT Index  |  All monetary values in ₹ Crores unless stated</t>
  </si>
  <si>
    <t>FY2025 Revenue</t>
  </si>
  <si>
    <t>FY2025 Net Profit</t>
  </si>
  <si>
    <t>Profit Margin</t>
  </si>
  <si>
    <t>ROE (FY2025)</t>
  </si>
  <si>
    <t>EPS (₹)</t>
  </si>
  <si>
    <t>D/E Ratio</t>
  </si>
  <si>
    <t>CFO (FY2025)</t>
  </si>
  <si>
    <t>KEY FINANCIAL METRICS  |  FY2021 – FY2025</t>
  </si>
  <si>
    <t>Operating Profit (₹ Cr)</t>
  </si>
  <si>
    <t>CFO (₹ Cr)</t>
  </si>
  <si>
    <t>Total Assets (₹ Cr)</t>
  </si>
  <si>
    <t>Total Borrowings (₹ Cr)</t>
  </si>
  <si>
    <t>KEY RATIOS  |  FY2021 – FY2025</t>
  </si>
  <si>
    <t>ROE</t>
  </si>
  <si>
    <t>Revenue Growth</t>
  </si>
  <si>
    <t>Year</t>
  </si>
  <si>
    <t>Revenue (Rs Cr)</t>
  </si>
  <si>
    <t>Net Profit (Rs Cr)</t>
  </si>
  <si>
    <t>EPS (Rs)</t>
  </si>
  <si>
    <t>DE Ratio</t>
  </si>
  <si>
    <t>Grand Total</t>
  </si>
  <si>
    <t>Column Labels</t>
  </si>
  <si>
    <t>Sum of Value</t>
  </si>
  <si>
    <t>Card 1 (Revenue)</t>
  </si>
  <si>
    <t>Card 2 (Net Profit)</t>
  </si>
  <si>
    <t>Card 3 (Net profit Margin)</t>
  </si>
  <si>
    <t>Card 4 (EPS)</t>
  </si>
  <si>
    <t>Card 5 (ROE)</t>
  </si>
  <si>
    <t>Card 6(DE Ratio)</t>
  </si>
  <si>
    <t>TCS Financial Dashboard I FY 2021 - 2025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</si>
</sst>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x"/>
    <numFmt numFmtId="165" formatCode="0.0\x"/>
    <numFmt numFmtId="166" formatCode="0.0%"/>
    <numFmt numFmtId="167" formatCode="0.0000"/>
    <numFmt numFmtId="168" formatCode="0.0"/>
    <numFmt numFmtId="169" formatCode="#,##0\ &quot;Cr&quot;"/>
    <numFmt numFmtId="170" formatCode="&quot;₹&quot;0.00"/>
    <numFmt numFmtId="171" formatCode="0.00&quot;x&quot;"/>
    <numFmt numFmtId="172" formatCode="0.000"/>
  </numFmts>
  <fonts count="35" x14ac:knownFonts="1">
    <font>
      <sz val="11"/>
      <color theme="1"/>
      <name val="Calibri"/>
      <family val="2"/>
      <scheme val="minor"/>
    </font>
    <font>
      <b/>
      <sz val="12"/>
      <color rgb="FFFFFFFF"/>
      <name val="Calibri"/>
      <family val="2"/>
    </font>
    <font>
      <i/>
      <sz val="9"/>
      <color rgb="FF7F8C8D"/>
      <name val="Calibri"/>
      <family val="2"/>
    </font>
    <font>
      <b/>
      <sz val="9"/>
      <color rgb="FF1C2833"/>
      <name val="Calibri"/>
      <family val="2"/>
    </font>
    <font>
      <b/>
      <sz val="10"/>
      <color rgb="FFFFFFFF"/>
      <name val="Calibri"/>
      <family val="2"/>
    </font>
    <font>
      <sz val="10"/>
      <color rgb="FF1C2833"/>
      <name val="Calibri"/>
      <family val="2"/>
    </font>
    <font>
      <b/>
      <sz val="10"/>
      <color rgb="FF1A56A0"/>
      <name val="Calibri"/>
      <family val="2"/>
    </font>
    <font>
      <b/>
      <sz val="10"/>
      <color rgb="FF1C2833"/>
      <name val="Calibri"/>
      <family val="2"/>
    </font>
    <font>
      <sz val="10"/>
      <color rgb="FF1A56A0"/>
      <name val="Calibri"/>
      <family val="2"/>
    </font>
    <font>
      <i/>
      <sz val="8"/>
      <color rgb="FF7F8C8D"/>
      <name val="Calibri"/>
      <family val="2"/>
    </font>
    <font>
      <b/>
      <sz val="10"/>
      <color rgb="FF9A7D0A"/>
      <name val="Calibri"/>
      <family val="2"/>
    </font>
    <font>
      <b/>
      <sz val="9"/>
      <color rgb="FF4A6274"/>
      <name val="Calibri"/>
      <family val="2"/>
    </font>
    <font>
      <b/>
      <sz val="14"/>
      <color rgb="FF9A7D0A"/>
      <name val="Calibri"/>
      <family val="2"/>
    </font>
    <font>
      <b/>
      <sz val="11"/>
      <color rgb="FF1C2833"/>
      <name val="Calibri"/>
      <family val="2"/>
    </font>
    <font>
      <b/>
      <sz val="9"/>
      <color rgb="FFFFFFFF"/>
      <name val="Calibri"/>
      <family val="2"/>
    </font>
    <font>
      <b/>
      <sz val="14"/>
      <color rgb="FF1C2833"/>
      <name val="Calibri"/>
      <family val="2"/>
    </font>
    <font>
      <b/>
      <sz val="14"/>
      <color rgb="FF2E4057"/>
      <name val="Calibri"/>
      <family val="2"/>
    </font>
    <font>
      <b/>
      <sz val="14"/>
      <color rgb="FF4A6274"/>
      <name val="Calibri"/>
      <family val="2"/>
    </font>
    <font>
      <b/>
      <sz val="14"/>
      <color rgb="FF6B7F8E"/>
      <name val="Calibri"/>
      <family val="2"/>
    </font>
    <font>
      <b/>
      <sz val="14"/>
      <color rgb="FF8C5E3C"/>
      <name val="Calibri"/>
      <family val="2"/>
    </font>
    <font>
      <b/>
      <sz val="14"/>
      <color rgb="FF4A7B60"/>
      <name val="Calibri"/>
      <family val="2"/>
    </font>
    <font>
      <sz val="10"/>
      <name val="Calibri"/>
      <family val="2"/>
    </font>
    <font>
      <sz val="9"/>
      <color rgb="FFFFFFFF"/>
      <name val="Calibri"/>
      <family val="2"/>
    </font>
    <font>
      <b/>
      <sz val="10"/>
      <color rgb="FF4A7B60"/>
      <name val="Calibri"/>
      <family val="2"/>
    </font>
    <font>
      <b/>
      <sz val="11"/>
      <color rgb="FF9A7D0A"/>
      <name val="Calibri"/>
      <family val="2"/>
    </font>
    <font>
      <b/>
      <sz val="12"/>
      <color rgb="FF9A7D0A"/>
      <name val="Calibri"/>
      <family val="2"/>
    </font>
    <font>
      <sz val="9"/>
      <color rgb="FF4A6274"/>
      <name val="Calibri"/>
      <family val="2"/>
    </font>
    <font>
      <i/>
      <sz val="10"/>
      <color rgb="FF7F8C8D"/>
      <name val="Calibri"/>
      <family val="2"/>
    </font>
    <font>
      <sz val="10"/>
      <color rgb="FF4A7B60"/>
      <name val="Calibri"/>
      <family val="2"/>
    </font>
    <font>
      <sz val="11"/>
      <color theme="1"/>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sz val="8"/>
      <name val="Calibri"/>
      <family val="2"/>
      <scheme val="minor"/>
    </font>
    <font>
      <sz val="9"/>
      <color rgb="FF7F8C8D"/>
      <name val="Calibri"/>
      <family val="2"/>
    </font>
  </fonts>
  <fills count="18">
    <fill>
      <patternFill patternType="none"/>
    </fill>
    <fill>
      <patternFill patternType="gray125"/>
    </fill>
    <fill>
      <patternFill patternType="solid">
        <fgColor rgb="FF1C2833"/>
      </patternFill>
    </fill>
    <fill>
      <patternFill patternType="solid">
        <fgColor rgb="FFF0F2F3"/>
      </patternFill>
    </fill>
    <fill>
      <patternFill patternType="solid">
        <fgColor rgb="FFEAEBEC"/>
      </patternFill>
    </fill>
    <fill>
      <patternFill patternType="solid">
        <fgColor rgb="FF2E4057"/>
      </patternFill>
    </fill>
    <fill>
      <patternFill patternType="solid">
        <fgColor rgb="FFFFFFFF"/>
      </patternFill>
    </fill>
    <fill>
      <patternFill patternType="solid">
        <fgColor rgb="FFF5F0DC"/>
      </patternFill>
    </fill>
    <fill>
      <patternFill patternType="solid">
        <fgColor rgb="FFF6F7F8"/>
      </patternFill>
    </fill>
    <fill>
      <patternFill patternType="solid">
        <fgColor rgb="FF4A6274"/>
      </patternFill>
    </fill>
    <fill>
      <patternFill patternType="solid">
        <fgColor rgb="FF6B7F8E"/>
      </patternFill>
    </fill>
    <fill>
      <patternFill patternType="solid">
        <fgColor rgb="FF9A7D0A"/>
      </patternFill>
    </fill>
    <fill>
      <patternFill patternType="solid">
        <fgColor rgb="FF8C5E3C"/>
      </patternFill>
    </fill>
    <fill>
      <patternFill patternType="solid">
        <fgColor rgb="FF4A7B60"/>
      </patternFill>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theme="6" tint="0.79998168889431442"/>
        <bgColor indexed="64"/>
      </patternFill>
    </fill>
  </fills>
  <borders count="29">
    <border>
      <left/>
      <right/>
      <top/>
      <bottom/>
      <diagonal/>
    </border>
    <border>
      <left/>
      <right/>
      <top/>
      <bottom style="medium">
        <color rgb="FF8EA0AE"/>
      </bottom>
      <diagonal/>
    </border>
    <border>
      <left/>
      <right/>
      <top/>
      <bottom style="thin">
        <color rgb="FFC8CBCE"/>
      </bottom>
      <diagonal/>
    </border>
    <border>
      <left/>
      <right/>
      <top style="thin">
        <color rgb="FFA8B0B8"/>
      </top>
      <bottom style="thin">
        <color rgb="FFA8B0B8"/>
      </bottom>
      <diagonal/>
    </border>
    <border>
      <left/>
      <right/>
      <top/>
      <bottom style="thin">
        <color rgb="FF8EA0AE"/>
      </bottom>
      <diagonal/>
    </border>
    <border>
      <left/>
      <right/>
      <top/>
      <bottom style="thin">
        <color rgb="FFDDE1E4"/>
      </bottom>
      <diagonal/>
    </border>
    <border>
      <left/>
      <right/>
      <top/>
      <bottom style="thin">
        <color rgb="FFC0C8D0"/>
      </bottom>
      <diagonal/>
    </border>
    <border>
      <left style="thin">
        <color rgb="FFC0C8D0"/>
      </left>
      <right style="thin">
        <color rgb="FFC0C8D0"/>
      </right>
      <top style="thin">
        <color rgb="FFC0C8D0"/>
      </top>
      <bottom/>
      <diagonal/>
    </border>
    <border>
      <left style="thin">
        <color rgb="FFC0C8D0"/>
      </left>
      <right style="thin">
        <color rgb="FFC0C8D0"/>
      </right>
      <top/>
      <bottom style="thin">
        <color rgb="FFC0C8D0"/>
      </bottom>
      <diagonal/>
    </border>
    <border>
      <left/>
      <right/>
      <top/>
      <bottom style="thin">
        <color rgb="FFDDE1E4"/>
      </bottom>
      <diagonal/>
    </border>
    <border>
      <left/>
      <right/>
      <top/>
      <bottom style="thin">
        <color rgb="FFC8CBCE"/>
      </bottom>
      <diagonal/>
    </border>
    <border>
      <left/>
      <right/>
      <top/>
      <bottom style="medium">
        <color rgb="FF8EA0AE"/>
      </bottom>
      <diagonal/>
    </border>
    <border>
      <left/>
      <right/>
      <top/>
      <bottom style="thin">
        <color rgb="FF8EA0AE"/>
      </bottom>
      <diagonal/>
    </border>
    <border>
      <left/>
      <right/>
      <top/>
      <bottom style="thin">
        <color rgb="FFC0C8D0"/>
      </bottom>
      <diagonal/>
    </border>
    <border>
      <left/>
      <right style="thin">
        <color rgb="FFC0C8D0"/>
      </right>
      <top/>
      <bottom style="thin">
        <color rgb="FFC0C8D0"/>
      </bottom>
      <diagonal/>
    </border>
    <border>
      <left/>
      <right style="thin">
        <color rgb="FFC0C8D0"/>
      </right>
      <top style="thin">
        <color rgb="FFC0C8D0"/>
      </top>
      <bottom/>
      <diagonal/>
    </border>
    <border>
      <left/>
      <right/>
      <top/>
      <bottom/>
      <diagonal/>
    </border>
    <border>
      <left style="thin">
        <color rgb="FF8EA0AE"/>
      </left>
      <right style="thin">
        <color rgb="FF8EA0AE"/>
      </right>
      <top style="thin">
        <color rgb="FF8EA0AE"/>
      </top>
      <bottom style="thin">
        <color rgb="FF8EA0AE"/>
      </bottom>
      <diagonal/>
    </border>
    <border>
      <left style="thin">
        <color rgb="FFFFFFFF"/>
      </left>
      <right style="thin">
        <color rgb="FFFFFFFF"/>
      </right>
      <top style="thin">
        <color rgb="FFFFFFFF"/>
      </top>
      <bottom style="thin">
        <color rgb="FFFFFFFF"/>
      </bottom>
      <diagonal/>
    </border>
    <border>
      <left style="thin">
        <color rgb="FFDDE1E4"/>
      </left>
      <right style="thin">
        <color rgb="FFDDE1E4"/>
      </right>
      <top style="thin">
        <color rgb="FFDDE1E4"/>
      </top>
      <bottom style="thin">
        <color rgb="FFDDE1E4"/>
      </bottom>
      <diagonal/>
    </border>
    <border>
      <left style="thin">
        <color rgb="FF9A7D0A"/>
      </left>
      <right style="thin">
        <color rgb="FF9A7D0A"/>
      </right>
      <top style="thin">
        <color rgb="FF9A7D0A"/>
      </top>
      <bottom style="thin">
        <color rgb="FF9A7D0A"/>
      </bottom>
      <diagonal/>
    </border>
    <border>
      <left style="thin">
        <color rgb="FF8EA0AE"/>
      </left>
      <right/>
      <top/>
      <bottom/>
      <diagonal/>
    </border>
    <border>
      <left style="thin">
        <color rgb="FF8EA0AE"/>
      </left>
      <right/>
      <top/>
      <bottom style="thin">
        <color rgb="FF8EA0AE"/>
      </bottom>
      <diagonal/>
    </border>
    <border>
      <left/>
      <right/>
      <top style="medium">
        <color rgb="FF8EA0AE"/>
      </top>
      <bottom style="thin">
        <color rgb="FFC8CBCE"/>
      </bottom>
      <diagonal/>
    </border>
    <border>
      <left/>
      <right/>
      <top style="medium">
        <color rgb="FF8EA0AE"/>
      </top>
      <bottom style="thin">
        <color rgb="FFA8B0B8"/>
      </bottom>
      <diagonal/>
    </border>
    <border>
      <left/>
      <right/>
      <top style="thin">
        <color rgb="FFA8B0B8"/>
      </top>
      <bottom style="thin">
        <color rgb="FF8EA0AE"/>
      </bottom>
      <diagonal/>
    </border>
    <border>
      <left/>
      <right/>
      <top style="thin">
        <color rgb="FFC8CBCE"/>
      </top>
      <bottom style="thin">
        <color rgb="FF8EA0AE"/>
      </bottom>
      <diagonal/>
    </border>
    <border>
      <left style="thin">
        <color rgb="FFFFFFFF"/>
      </left>
      <right style="thin">
        <color rgb="FFFFFFFF"/>
      </right>
      <top/>
      <bottom style="thin">
        <color rgb="FFFFFFFF"/>
      </bottom>
      <diagonal/>
    </border>
    <border>
      <left style="thin">
        <color rgb="FFDDE1E4"/>
      </left>
      <right style="thin">
        <color rgb="FFDDE1E4"/>
      </right>
      <top style="thin">
        <color rgb="FFDDE1E4"/>
      </top>
      <bottom style="thin">
        <color indexed="64"/>
      </bottom>
      <diagonal/>
    </border>
  </borders>
  <cellStyleXfs count="2">
    <xf numFmtId="0" fontId="0" fillId="0" borderId="0"/>
    <xf numFmtId="0" fontId="29" fillId="0" borderId="16"/>
  </cellStyleXfs>
  <cellXfs count="144">
    <xf numFmtId="0" fontId="0" fillId="0" borderId="0" xfId="0"/>
    <xf numFmtId="0" fontId="7" fillId="4" borderId="5" xfId="0" applyFont="1" applyFill="1" applyBorder="1" applyAlignment="1">
      <alignment horizontal="left" vertical="top" indent="2"/>
    </xf>
    <xf numFmtId="0" fontId="3" fillId="4" borderId="3" xfId="0" applyFont="1" applyFill="1" applyBorder="1" applyAlignment="1">
      <alignment horizontal="center" vertical="center"/>
    </xf>
    <xf numFmtId="0" fontId="7" fillId="6" borderId="5" xfId="0" applyFont="1" applyFill="1" applyBorder="1" applyAlignment="1">
      <alignment horizontal="left" vertical="center" indent="3"/>
    </xf>
    <xf numFmtId="164" fontId="13" fillId="6" borderId="5" xfId="0" applyNumberFormat="1" applyFont="1" applyFill="1" applyBorder="1" applyAlignment="1">
      <alignment horizontal="center" vertical="center"/>
    </xf>
    <xf numFmtId="0" fontId="2" fillId="6" borderId="5" xfId="0" applyFont="1" applyFill="1" applyBorder="1" applyAlignment="1">
      <alignment horizontal="left" wrapText="1" indent="2"/>
    </xf>
    <xf numFmtId="0" fontId="7" fillId="8" borderId="5" xfId="0" applyFont="1" applyFill="1" applyBorder="1" applyAlignment="1">
      <alignment horizontal="left" vertical="center" indent="3"/>
    </xf>
    <xf numFmtId="165" fontId="13" fillId="8" borderId="5" xfId="0" applyNumberFormat="1" applyFont="1" applyFill="1" applyBorder="1" applyAlignment="1">
      <alignment horizontal="center" vertical="center"/>
    </xf>
    <xf numFmtId="0" fontId="2" fillId="8" borderId="5" xfId="0" applyFont="1" applyFill="1" applyBorder="1" applyAlignment="1">
      <alignment horizontal="left" wrapText="1" indent="2"/>
    </xf>
    <xf numFmtId="166" fontId="13" fillId="6" borderId="5" xfId="0" applyNumberFormat="1" applyFont="1" applyFill="1" applyBorder="1" applyAlignment="1">
      <alignment horizontal="center" vertical="center"/>
    </xf>
    <xf numFmtId="166" fontId="13" fillId="8" borderId="5" xfId="0" applyNumberFormat="1" applyFont="1" applyFill="1" applyBorder="1" applyAlignment="1">
      <alignment horizontal="center" vertical="center"/>
    </xf>
    <xf numFmtId="0" fontId="13" fillId="8" borderId="5" xfId="0" applyFont="1" applyFill="1" applyBorder="1" applyAlignment="1">
      <alignment horizontal="center" vertical="center"/>
    </xf>
    <xf numFmtId="0" fontId="7" fillId="4" borderId="5" xfId="0" applyFont="1" applyFill="1" applyBorder="1" applyAlignment="1">
      <alignment horizontal="left" indent="2"/>
    </xf>
    <xf numFmtId="2" fontId="5" fillId="6" borderId="5" xfId="0" applyNumberFormat="1" applyFont="1" applyFill="1" applyBorder="1" applyAlignment="1">
      <alignment horizontal="center" vertical="center"/>
    </xf>
    <xf numFmtId="0" fontId="7" fillId="6" borderId="5" xfId="0" applyFont="1" applyFill="1" applyBorder="1" applyAlignment="1">
      <alignment horizontal="left" indent="3"/>
    </xf>
    <xf numFmtId="3" fontId="5" fillId="6" borderId="5" xfId="0" applyNumberFormat="1" applyFont="1" applyFill="1" applyBorder="1" applyAlignment="1">
      <alignment horizontal="center"/>
    </xf>
    <xf numFmtId="0" fontId="7" fillId="8" borderId="5" xfId="0" applyFont="1" applyFill="1" applyBorder="1" applyAlignment="1">
      <alignment horizontal="left" indent="3"/>
    </xf>
    <xf numFmtId="3" fontId="5" fillId="8" borderId="5" xfId="0" applyNumberFormat="1" applyFont="1" applyFill="1" applyBorder="1" applyAlignment="1">
      <alignment horizontal="center"/>
    </xf>
    <xf numFmtId="0" fontId="5" fillId="6" borderId="5" xfId="0" applyFont="1" applyFill="1" applyBorder="1" applyAlignment="1">
      <alignment horizontal="left" indent="3"/>
    </xf>
    <xf numFmtId="0" fontId="5" fillId="8" borderId="5" xfId="0" applyFont="1" applyFill="1" applyBorder="1" applyAlignment="1">
      <alignment horizontal="left" indent="3"/>
    </xf>
    <xf numFmtId="166" fontId="5" fillId="6" borderId="5" xfId="0" applyNumberFormat="1" applyFont="1" applyFill="1" applyBorder="1" applyAlignment="1">
      <alignment horizontal="center"/>
    </xf>
    <xf numFmtId="166" fontId="10" fillId="7" borderId="5" xfId="0" applyNumberFormat="1" applyFont="1" applyFill="1" applyBorder="1" applyAlignment="1">
      <alignment horizontal="center"/>
    </xf>
    <xf numFmtId="166" fontId="5" fillId="8" borderId="5" xfId="0" applyNumberFormat="1" applyFont="1" applyFill="1" applyBorder="1" applyAlignment="1">
      <alignment horizontal="center"/>
    </xf>
    <xf numFmtId="166" fontId="12" fillId="7" borderId="6" xfId="0" applyNumberFormat="1" applyFont="1" applyFill="1" applyBorder="1" applyAlignment="1">
      <alignment horizontal="center" vertical="center"/>
    </xf>
    <xf numFmtId="0" fontId="5" fillId="6" borderId="5" xfId="0" applyFont="1" applyFill="1" applyBorder="1" applyAlignment="1">
      <alignment horizontal="left" vertical="center" indent="3"/>
    </xf>
    <xf numFmtId="166" fontId="5" fillId="6" borderId="5" xfId="0" applyNumberFormat="1" applyFont="1" applyFill="1" applyBorder="1" applyAlignment="1">
      <alignment horizontal="center" vertical="center"/>
    </xf>
    <xf numFmtId="0" fontId="2" fillId="6" borderId="5" xfId="0" applyFont="1" applyFill="1" applyBorder="1" applyAlignment="1">
      <alignment horizontal="left" vertical="center" wrapText="1" indent="2"/>
    </xf>
    <xf numFmtId="0" fontId="5" fillId="8" borderId="5" xfId="0" applyFont="1" applyFill="1" applyBorder="1" applyAlignment="1">
      <alignment horizontal="left" vertical="center" indent="3"/>
    </xf>
    <xf numFmtId="166" fontId="5" fillId="8" borderId="5" xfId="0" applyNumberFormat="1" applyFont="1" applyFill="1" applyBorder="1" applyAlignment="1">
      <alignment horizontal="center" vertical="center"/>
    </xf>
    <xf numFmtId="0" fontId="2" fillId="8" borderId="5" xfId="0" applyFont="1" applyFill="1" applyBorder="1" applyAlignment="1">
      <alignment horizontal="left" vertical="center" wrapText="1" indent="2"/>
    </xf>
    <xf numFmtId="3" fontId="5" fillId="8" borderId="5" xfId="0" applyNumberFormat="1" applyFont="1" applyFill="1" applyBorder="1" applyAlignment="1">
      <alignment horizontal="center" vertical="center"/>
    </xf>
    <xf numFmtId="164" fontId="5" fillId="6" borderId="5" xfId="0" applyNumberFormat="1" applyFont="1" applyFill="1" applyBorder="1" applyAlignment="1">
      <alignment horizontal="center" vertical="center"/>
    </xf>
    <xf numFmtId="165" fontId="5" fillId="8" borderId="5" xfId="0" applyNumberFormat="1" applyFont="1" applyFill="1" applyBorder="1" applyAlignment="1">
      <alignment horizontal="center" vertical="center"/>
    </xf>
    <xf numFmtId="168" fontId="5" fillId="6" borderId="5" xfId="0" applyNumberFormat="1" applyFont="1" applyFill="1" applyBorder="1" applyAlignment="1">
      <alignment horizontal="center" vertical="center"/>
    </xf>
    <xf numFmtId="164" fontId="5" fillId="8" borderId="5" xfId="0" applyNumberFormat="1" applyFont="1" applyFill="1" applyBorder="1" applyAlignment="1">
      <alignment horizontal="center" vertical="center"/>
    </xf>
    <xf numFmtId="165" fontId="5" fillId="6" borderId="5" xfId="0" applyNumberFormat="1" applyFont="1" applyFill="1" applyBorder="1" applyAlignment="1">
      <alignment horizontal="center" vertical="center"/>
    </xf>
    <xf numFmtId="3" fontId="5" fillId="6" borderId="5" xfId="0" applyNumberFormat="1" applyFont="1" applyFill="1" applyBorder="1" applyAlignment="1">
      <alignment horizontal="center" vertical="center"/>
    </xf>
    <xf numFmtId="3" fontId="6" fillId="7" borderId="5" xfId="0" applyNumberFormat="1" applyFont="1" applyFill="1" applyBorder="1" applyAlignment="1">
      <alignment horizontal="center" vertical="center"/>
    </xf>
    <xf numFmtId="166" fontId="7" fillId="7" borderId="5" xfId="0" applyNumberFormat="1" applyFont="1" applyFill="1" applyBorder="1" applyAlignment="1">
      <alignment horizontal="center" vertical="center"/>
    </xf>
    <xf numFmtId="3" fontId="8" fillId="8" borderId="5"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0" fontId="5" fillId="8" borderId="4" xfId="0" applyFont="1" applyFill="1" applyBorder="1" applyAlignment="1">
      <alignment horizontal="left" vertical="center" indent="3"/>
    </xf>
    <xf numFmtId="3" fontId="8" fillId="8" borderId="4" xfId="0" applyNumberFormat="1" applyFont="1" applyFill="1" applyBorder="1" applyAlignment="1">
      <alignment horizontal="center" vertical="center"/>
    </xf>
    <xf numFmtId="166" fontId="5" fillId="8" borderId="4" xfId="0" applyNumberFormat="1" applyFont="1" applyFill="1" applyBorder="1" applyAlignment="1">
      <alignment horizontal="center" vertical="center"/>
    </xf>
    <xf numFmtId="2" fontId="5" fillId="6" borderId="5" xfId="0" applyNumberFormat="1" applyFont="1" applyFill="1" applyBorder="1" applyAlignment="1">
      <alignment horizontal="center"/>
    </xf>
    <xf numFmtId="164" fontId="5" fillId="8" borderId="5"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14" borderId="0" xfId="0" applyFill="1"/>
    <xf numFmtId="0" fontId="30" fillId="16" borderId="0" xfId="0" applyFont="1" applyFill="1"/>
    <xf numFmtId="0" fontId="30" fillId="14" borderId="0" xfId="0" applyFont="1" applyFill="1"/>
    <xf numFmtId="0" fontId="0" fillId="16" borderId="0" xfId="0" applyFill="1"/>
    <xf numFmtId="0" fontId="7" fillId="4" borderId="5" xfId="0" applyFont="1" applyFill="1" applyBorder="1" applyAlignment="1">
      <alignment horizontal="left" vertical="top" wrapText="1" indent="2"/>
    </xf>
    <xf numFmtId="0" fontId="29" fillId="0" borderId="16" xfId="1"/>
    <xf numFmtId="0" fontId="22" fillId="6" borderId="16" xfId="1" applyFont="1" applyFill="1"/>
    <xf numFmtId="0" fontId="14" fillId="2" borderId="17" xfId="1" applyFont="1" applyFill="1" applyBorder="1" applyAlignment="1">
      <alignment horizontal="center" vertical="center"/>
    </xf>
    <xf numFmtId="0" fontId="21" fillId="6" borderId="16" xfId="1" applyFont="1" applyFill="1"/>
    <xf numFmtId="0" fontId="7" fillId="4" borderId="19" xfId="1" applyFont="1" applyFill="1" applyBorder="1" applyAlignment="1">
      <alignment horizontal="center" vertical="center"/>
    </xf>
    <xf numFmtId="172" fontId="7" fillId="8" borderId="19" xfId="1" applyNumberFormat="1" applyFont="1" applyFill="1" applyBorder="1" applyAlignment="1">
      <alignment horizontal="center" vertical="center"/>
    </xf>
    <xf numFmtId="172" fontId="5" fillId="8" borderId="19" xfId="1" applyNumberFormat="1" applyFont="1" applyFill="1" applyBorder="1" applyAlignment="1">
      <alignment horizontal="center" vertical="center"/>
    </xf>
    <xf numFmtId="172" fontId="5" fillId="6" borderId="19" xfId="1" applyNumberFormat="1" applyFont="1" applyFill="1" applyBorder="1" applyAlignment="1">
      <alignment horizontal="center" vertical="center"/>
    </xf>
    <xf numFmtId="172" fontId="7" fillId="6" borderId="19" xfId="1" applyNumberFormat="1" applyFont="1" applyFill="1" applyBorder="1" applyAlignment="1">
      <alignment horizontal="center" vertical="center"/>
    </xf>
    <xf numFmtId="0" fontId="14" fillId="9" borderId="17" xfId="1" applyFont="1" applyFill="1" applyBorder="1" applyAlignment="1">
      <alignment horizontal="center" vertical="center"/>
    </xf>
    <xf numFmtId="0" fontId="7" fillId="8" borderId="19" xfId="1" applyFont="1" applyFill="1" applyBorder="1" applyAlignment="1">
      <alignment horizontal="left" vertical="center" indent="2"/>
    </xf>
    <xf numFmtId="4" fontId="5" fillId="8" borderId="19" xfId="1" applyNumberFormat="1" applyFont="1" applyFill="1" applyBorder="1" applyAlignment="1">
      <alignment horizontal="center" vertical="center"/>
    </xf>
    <xf numFmtId="167" fontId="23" fillId="8" borderId="19" xfId="1" applyNumberFormat="1" applyFont="1" applyFill="1" applyBorder="1" applyAlignment="1">
      <alignment horizontal="center" vertical="center"/>
    </xf>
    <xf numFmtId="3" fontId="24" fillId="7" borderId="20" xfId="1" applyNumberFormat="1" applyFont="1" applyFill="1" applyBorder="1" applyAlignment="1">
      <alignment horizontal="center" vertical="center"/>
    </xf>
    <xf numFmtId="0" fontId="2" fillId="8" borderId="19" xfId="1" applyFont="1" applyFill="1" applyBorder="1" applyAlignment="1">
      <alignment horizontal="left" vertical="center" wrapText="1" indent="1"/>
    </xf>
    <xf numFmtId="0" fontId="7" fillId="6" borderId="19" xfId="1" applyFont="1" applyFill="1" applyBorder="1" applyAlignment="1">
      <alignment horizontal="left" vertical="center" indent="2"/>
    </xf>
    <xf numFmtId="4" fontId="5" fillId="6" borderId="19" xfId="1" applyNumberFormat="1" applyFont="1" applyFill="1" applyBorder="1" applyAlignment="1">
      <alignment horizontal="center" vertical="center"/>
    </xf>
    <xf numFmtId="167" fontId="23" fillId="6" borderId="19" xfId="1" applyNumberFormat="1" applyFont="1" applyFill="1" applyBorder="1" applyAlignment="1">
      <alignment horizontal="center" vertical="center"/>
    </xf>
    <xf numFmtId="0" fontId="2" fillId="6" borderId="19" xfId="1" applyFont="1" applyFill="1" applyBorder="1" applyAlignment="1">
      <alignment horizontal="left" vertical="center" wrapText="1" indent="1"/>
    </xf>
    <xf numFmtId="3" fontId="25" fillId="7" borderId="20" xfId="1" applyNumberFormat="1" applyFont="1" applyFill="1" applyBorder="1" applyAlignment="1">
      <alignment horizontal="center" vertical="center"/>
    </xf>
    <xf numFmtId="0" fontId="26" fillId="8" borderId="19" xfId="1" applyFont="1" applyFill="1" applyBorder="1" applyAlignment="1">
      <alignment horizontal="left" vertical="center" indent="1"/>
    </xf>
    <xf numFmtId="0" fontId="26" fillId="6" borderId="19" xfId="1" applyFont="1" applyFill="1" applyBorder="1" applyAlignment="1">
      <alignment horizontal="left" vertical="center" indent="1"/>
    </xf>
    <xf numFmtId="0" fontId="27" fillId="8" borderId="19" xfId="1" applyFont="1" applyFill="1" applyBorder="1" applyAlignment="1">
      <alignment horizontal="center" vertical="center"/>
    </xf>
    <xf numFmtId="0" fontId="28" fillId="8" borderId="19" xfId="1" applyFont="1" applyFill="1" applyBorder="1" applyAlignment="1">
      <alignment horizontal="center" vertical="center"/>
    </xf>
    <xf numFmtId="0" fontId="2" fillId="8" borderId="19" xfId="1" applyFont="1" applyFill="1" applyBorder="1" applyAlignment="1">
      <alignment horizontal="left" vertical="center" indent="1"/>
    </xf>
    <xf numFmtId="0" fontId="27" fillId="6" borderId="19" xfId="1" applyFont="1" applyFill="1" applyBorder="1" applyAlignment="1">
      <alignment horizontal="center" vertical="center"/>
    </xf>
    <xf numFmtId="0" fontId="28" fillId="6" borderId="19" xfId="1" applyFont="1" applyFill="1" applyBorder="1" applyAlignment="1">
      <alignment horizontal="center" vertical="center"/>
    </xf>
    <xf numFmtId="0" fontId="2" fillId="6" borderId="19" xfId="1" applyFont="1" applyFill="1" applyBorder="1" applyAlignment="1">
      <alignment horizontal="left" vertical="center" indent="1"/>
    </xf>
    <xf numFmtId="0" fontId="7" fillId="6" borderId="5" xfId="0" applyFont="1" applyFill="1" applyBorder="1" applyAlignment="1">
      <alignment vertical="center" wrapText="1"/>
    </xf>
    <xf numFmtId="0" fontId="7" fillId="8" borderId="5" xfId="0" applyFont="1" applyFill="1" applyBorder="1" applyAlignment="1">
      <alignment vertical="center" wrapText="1"/>
    </xf>
    <xf numFmtId="0" fontId="29" fillId="0" borderId="16" xfId="1" applyAlignment="1">
      <alignment wrapText="1"/>
    </xf>
    <xf numFmtId="0" fontId="29" fillId="14" borderId="16" xfId="1" applyFill="1" applyAlignment="1">
      <alignment wrapText="1"/>
    </xf>
    <xf numFmtId="0" fontId="29" fillId="14" borderId="16" xfId="1" applyFill="1"/>
    <xf numFmtId="0" fontId="34" fillId="14" borderId="16" xfId="1" applyFont="1" applyFill="1"/>
    <xf numFmtId="0" fontId="34" fillId="14" borderId="16" xfId="1" applyFont="1" applyFill="1" applyAlignment="1">
      <alignment wrapText="1"/>
    </xf>
    <xf numFmtId="0" fontId="2" fillId="14" borderId="16" xfId="1" applyFont="1" applyFill="1" applyAlignment="1">
      <alignment wrapText="1"/>
    </xf>
    <xf numFmtId="0" fontId="7" fillId="6" borderId="28" xfId="1" applyFont="1" applyFill="1" applyBorder="1" applyAlignment="1">
      <alignment horizontal="left" vertical="center" indent="2"/>
    </xf>
    <xf numFmtId="0" fontId="5" fillId="6" borderId="27" xfId="1" applyFont="1" applyFill="1" applyBorder="1" applyAlignment="1">
      <alignment vertical="center"/>
    </xf>
    <xf numFmtId="0" fontId="0" fillId="17" borderId="0" xfId="0" applyFill="1" applyAlignment="1">
      <alignment horizontal="center"/>
    </xf>
    <xf numFmtId="0" fontId="32" fillId="15" borderId="0" xfId="0" applyFont="1" applyFill="1" applyAlignment="1">
      <alignment horizontal="center"/>
    </xf>
    <xf numFmtId="0" fontId="31" fillId="15" borderId="0" xfId="0" applyFont="1" applyFill="1" applyAlignment="1">
      <alignment horizontal="center"/>
    </xf>
    <xf numFmtId="0" fontId="4" fillId="5" borderId="4" xfId="0" applyFont="1" applyFill="1" applyBorder="1" applyAlignment="1">
      <alignment horizontal="left" vertical="center" indent="2"/>
    </xf>
    <xf numFmtId="0" fontId="0" fillId="0" borderId="12" xfId="0" applyBorder="1"/>
    <xf numFmtId="0" fontId="9" fillId="0" borderId="0" xfId="0" applyFont="1" applyAlignment="1">
      <alignment horizontal="left" indent="2"/>
    </xf>
    <xf numFmtId="0" fontId="0" fillId="0" borderId="0" xfId="0"/>
    <xf numFmtId="0" fontId="1" fillId="2" borderId="1" xfId="0" applyFont="1" applyFill="1" applyBorder="1" applyAlignment="1">
      <alignment horizontal="left" vertical="center" indent="2"/>
    </xf>
    <xf numFmtId="0" fontId="0" fillId="0" borderId="11" xfId="0" applyBorder="1"/>
    <xf numFmtId="0" fontId="2" fillId="3" borderId="2" xfId="0" applyFont="1" applyFill="1" applyBorder="1" applyAlignment="1">
      <alignment horizontal="left" vertical="center" indent="2"/>
    </xf>
    <xf numFmtId="0" fontId="0" fillId="0" borderId="10" xfId="0" applyBorder="1"/>
    <xf numFmtId="0" fontId="1" fillId="2" borderId="11" xfId="0" applyFont="1" applyFill="1" applyBorder="1" applyAlignment="1">
      <alignment horizontal="center" vertical="center"/>
    </xf>
    <xf numFmtId="0" fontId="5" fillId="0" borderId="5" xfId="0" applyFont="1" applyBorder="1" applyAlignment="1">
      <alignment horizontal="left" vertical="center" wrapText="1" indent="2"/>
    </xf>
    <xf numFmtId="0" fontId="0" fillId="0" borderId="9" xfId="0" applyBorder="1"/>
    <xf numFmtId="0" fontId="4" fillId="5" borderId="12" xfId="0" applyFont="1" applyFill="1" applyBorder="1" applyAlignment="1">
      <alignment horizontal="center" vertical="center"/>
    </xf>
    <xf numFmtId="0" fontId="2" fillId="3" borderId="23" xfId="0" applyFont="1" applyFill="1" applyBorder="1" applyAlignment="1">
      <alignment horizontal="center" vertical="center"/>
    </xf>
    <xf numFmtId="0" fontId="4" fillId="2" borderId="26" xfId="0" applyFont="1" applyFill="1" applyBorder="1" applyAlignment="1">
      <alignment horizontal="center" vertical="center"/>
    </xf>
    <xf numFmtId="0" fontId="4" fillId="9" borderId="12" xfId="0" applyFont="1" applyFill="1" applyBorder="1" applyAlignment="1">
      <alignment horizontal="center" vertical="center"/>
    </xf>
    <xf numFmtId="0" fontId="5" fillId="0" borderId="5" xfId="0" applyFont="1" applyBorder="1" applyAlignment="1">
      <alignment horizontal="left" wrapText="1" indent="2"/>
    </xf>
    <xf numFmtId="0" fontId="4" fillId="2" borderId="4" xfId="0" applyFont="1" applyFill="1" applyBorder="1" applyAlignment="1">
      <alignment horizontal="left" vertical="center" indent="2"/>
    </xf>
    <xf numFmtId="0" fontId="2" fillId="3" borderId="24" xfId="0" applyFont="1" applyFill="1" applyBorder="1" applyAlignment="1">
      <alignment horizontal="center" vertical="center"/>
    </xf>
    <xf numFmtId="0" fontId="5" fillId="6" borderId="27" xfId="1" applyFont="1" applyFill="1" applyBorder="1" applyAlignment="1">
      <alignment horizontal="center" vertical="center"/>
    </xf>
    <xf numFmtId="0" fontId="29" fillId="0" borderId="16" xfId="1"/>
    <xf numFmtId="0" fontId="4" fillId="5" borderId="17" xfId="1" applyFont="1" applyFill="1" applyBorder="1" applyAlignment="1">
      <alignment horizontal="left" vertical="center" indent="2"/>
    </xf>
    <xf numFmtId="0" fontId="5" fillId="6" borderId="18" xfId="1" applyFont="1" applyFill="1" applyBorder="1" applyAlignment="1">
      <alignment horizontal="center" vertical="center"/>
    </xf>
    <xf numFmtId="0" fontId="1" fillId="2" borderId="21" xfId="1" applyFont="1" applyFill="1" applyBorder="1" applyAlignment="1">
      <alignment horizontal="center" vertical="center"/>
    </xf>
    <xf numFmtId="0" fontId="1" fillId="2" borderId="16" xfId="1" applyFont="1" applyFill="1" applyAlignment="1">
      <alignment horizontal="center" vertical="center"/>
    </xf>
    <xf numFmtId="0" fontId="4" fillId="5" borderId="22" xfId="1" applyFont="1" applyFill="1" applyBorder="1" applyAlignment="1">
      <alignment horizontal="left" vertical="center"/>
    </xf>
    <xf numFmtId="0" fontId="4" fillId="5" borderId="12" xfId="1" applyFont="1" applyFill="1" applyBorder="1" applyAlignment="1">
      <alignment horizontal="left" vertical="center"/>
    </xf>
    <xf numFmtId="0" fontId="4" fillId="2" borderId="22" xfId="1" applyFont="1" applyFill="1" applyBorder="1" applyAlignment="1">
      <alignment horizontal="left" vertical="center"/>
    </xf>
    <xf numFmtId="0" fontId="4" fillId="2" borderId="12" xfId="1" applyFont="1" applyFill="1" applyBorder="1" applyAlignment="1">
      <alignment horizontal="left" vertical="center"/>
    </xf>
    <xf numFmtId="0" fontId="11" fillId="4" borderId="6" xfId="0" applyFont="1" applyFill="1" applyBorder="1" applyAlignment="1">
      <alignment horizontal="center" vertical="center"/>
    </xf>
    <xf numFmtId="0" fontId="0" fillId="0" borderId="13" xfId="0" applyBorder="1"/>
    <xf numFmtId="0" fontId="4" fillId="2" borderId="12" xfId="0" applyFont="1" applyFill="1" applyBorder="1" applyAlignment="1">
      <alignment horizontal="center" vertical="center"/>
    </xf>
    <xf numFmtId="0" fontId="4" fillId="9" borderId="25" xfId="0" applyFont="1" applyFill="1" applyBorder="1" applyAlignment="1">
      <alignment horizontal="center" vertical="center"/>
    </xf>
    <xf numFmtId="169" fontId="20" fillId="6" borderId="8" xfId="0" applyNumberFormat="1" applyFont="1" applyFill="1" applyBorder="1" applyAlignment="1">
      <alignment horizontal="center" vertical="center"/>
    </xf>
    <xf numFmtId="0" fontId="0" fillId="0" borderId="14" xfId="0" applyBorder="1"/>
    <xf numFmtId="0" fontId="14" fillId="5" borderId="7" xfId="0" applyFont="1" applyFill="1" applyBorder="1" applyAlignment="1">
      <alignment horizontal="center" vertical="center"/>
    </xf>
    <xf numFmtId="0" fontId="0" fillId="0" borderId="15" xfId="0" applyBorder="1"/>
    <xf numFmtId="169" fontId="16" fillId="6" borderId="8" xfId="0" applyNumberFormat="1" applyFont="1" applyFill="1" applyBorder="1" applyAlignment="1">
      <alignment horizontal="center" vertical="center"/>
    </xf>
    <xf numFmtId="166" fontId="17" fillId="6" borderId="8" xfId="0" applyNumberFormat="1" applyFont="1" applyFill="1" applyBorder="1" applyAlignment="1">
      <alignment horizontal="center" vertical="center"/>
    </xf>
    <xf numFmtId="0" fontId="0" fillId="4" borderId="0" xfId="0" applyFill="1"/>
    <xf numFmtId="0" fontId="14" fillId="9" borderId="7" xfId="0" applyFont="1" applyFill="1" applyBorder="1" applyAlignment="1">
      <alignment horizontal="center" vertical="center"/>
    </xf>
    <xf numFmtId="169" fontId="15" fillId="6" borderId="8" xfId="0" applyNumberFormat="1" applyFont="1" applyFill="1" applyBorder="1" applyAlignment="1">
      <alignment horizontal="center" vertical="center"/>
    </xf>
    <xf numFmtId="166" fontId="18" fillId="6" borderId="8" xfId="0" applyNumberFormat="1" applyFont="1" applyFill="1" applyBorder="1" applyAlignment="1">
      <alignment horizontal="center" vertical="center"/>
    </xf>
    <xf numFmtId="170" fontId="12" fillId="6" borderId="8" xfId="0" applyNumberFormat="1" applyFont="1" applyFill="1" applyBorder="1" applyAlignment="1">
      <alignment horizontal="center" vertical="center"/>
    </xf>
    <xf numFmtId="0" fontId="14" fillId="2" borderId="7" xfId="0" applyFont="1" applyFill="1" applyBorder="1" applyAlignment="1">
      <alignment horizontal="center" vertical="center"/>
    </xf>
    <xf numFmtId="0" fontId="14" fillId="10" borderId="7" xfId="0" applyFont="1" applyFill="1" applyBorder="1" applyAlignment="1">
      <alignment horizontal="center" vertical="center"/>
    </xf>
    <xf numFmtId="0" fontId="14" fillId="11" borderId="7" xfId="0" applyFont="1" applyFill="1" applyBorder="1" applyAlignment="1">
      <alignment horizontal="center" vertical="center"/>
    </xf>
    <xf numFmtId="0" fontId="14" fillId="12" borderId="7" xfId="0" applyFont="1" applyFill="1" applyBorder="1" applyAlignment="1">
      <alignment horizontal="center" vertical="center"/>
    </xf>
    <xf numFmtId="0" fontId="14" fillId="13" borderId="7" xfId="0" applyFont="1" applyFill="1" applyBorder="1" applyAlignment="1">
      <alignment horizontal="center" vertical="center"/>
    </xf>
    <xf numFmtId="171" fontId="19" fillId="6" borderId="8" xfId="0" applyNumberFormat="1" applyFont="1" applyFill="1" applyBorder="1" applyAlignment="1">
      <alignment horizontal="center" vertical="center"/>
    </xf>
    <xf numFmtId="0" fontId="0" fillId="0" borderId="0" xfId="0" applyNumberFormat="1"/>
  </cellXfs>
  <cellStyles count="2">
    <cellStyle name="Normal" xfId="0" builtinId="0"/>
    <cellStyle name="Normal 2" xfId="1" xr:uid="{C45B5160-B174-475E-A2E8-6D2EABC899A0}"/>
  </cellStyles>
  <dxfs count="0"/>
  <tableStyles count="0" defaultTableStyle="TableStyleMedium9" defaultPivotStyle="PivotStyleLight16"/>
  <colors>
    <mruColors>
      <color rgb="FF7B2D3A"/>
      <color rgb="FF1C28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050" b="1">
                <a:solidFill>
                  <a:schemeClr val="tx2"/>
                </a:solidFill>
              </a:rPr>
              <a:t>Cash Flow Breakdown — FY2021 to FY2025</a:t>
            </a:r>
          </a:p>
          <a:p>
            <a:pPr>
              <a:defRPr/>
            </a:pPr>
            <a:r>
              <a:rPr lang="en-IN" sz="1050" b="1">
                <a:solidFill>
                  <a:schemeClr val="tx2"/>
                </a:solidFill>
              </a:rPr>
              <a:t> (₹ Crores)</a:t>
            </a:r>
          </a:p>
        </c:rich>
      </c:tx>
      <c:layout>
        <c:manualLayout>
          <c:xMode val="edge"/>
          <c:yMode val="edge"/>
          <c:x val="0.14266666666666666"/>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4468503937008"/>
          <c:y val="0.18644061244921706"/>
          <c:w val="0.85097440944881886"/>
          <c:h val="0.6714577865266842"/>
        </c:manualLayout>
      </c:layout>
      <c:barChart>
        <c:barDir val="col"/>
        <c:grouping val="clustered"/>
        <c:varyColors val="0"/>
        <c:ser>
          <c:idx val="0"/>
          <c:order val="0"/>
          <c:tx>
            <c:strRef>
              <c:f>Raw_Data!$A$28</c:f>
              <c:strCache>
                <c:ptCount val="1"/>
                <c:pt idx="0">
                  <c:v>Cash from Operations (CFO)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Raw_Data!$B$3:$G$3</c:f>
              <c:strCache>
                <c:ptCount val="6"/>
                <c:pt idx="0">
                  <c:v>FY2021</c:v>
                </c:pt>
                <c:pt idx="1">
                  <c:v>FY2022</c:v>
                </c:pt>
                <c:pt idx="2">
                  <c:v>FY2023</c:v>
                </c:pt>
                <c:pt idx="3">
                  <c:v>FY2024</c:v>
                </c:pt>
                <c:pt idx="4">
                  <c:v>FY2025</c:v>
                </c:pt>
                <c:pt idx="5">
                  <c:v>5-Yr CAGR</c:v>
                </c:pt>
              </c:strCache>
            </c:strRef>
          </c:cat>
          <c:val>
            <c:numRef>
              <c:f>Raw_Data!$B$28:$G$28</c:f>
              <c:numCache>
                <c:formatCode>#,##0</c:formatCode>
                <c:ptCount val="6"/>
                <c:pt idx="0">
                  <c:v>38802</c:v>
                </c:pt>
                <c:pt idx="1">
                  <c:v>39949</c:v>
                </c:pt>
                <c:pt idx="2">
                  <c:v>41965</c:v>
                </c:pt>
                <c:pt idx="3">
                  <c:v>44338</c:v>
                </c:pt>
                <c:pt idx="4">
                  <c:v>48908</c:v>
                </c:pt>
                <c:pt idx="5" formatCode="0.0%">
                  <c:v>5.9574378367559522E-2</c:v>
                </c:pt>
              </c:numCache>
            </c:numRef>
          </c:val>
          <c:extLst>
            <c:ext xmlns:c16="http://schemas.microsoft.com/office/drawing/2014/chart" uri="{C3380CC4-5D6E-409C-BE32-E72D297353CC}">
              <c16:uniqueId val="{00000000-BBD1-427A-A592-B283E7E3152E}"/>
            </c:ext>
          </c:extLst>
        </c:ser>
        <c:ser>
          <c:idx val="1"/>
          <c:order val="1"/>
          <c:tx>
            <c:strRef>
              <c:f>Raw_Data!$A$29</c:f>
              <c:strCache>
                <c:ptCount val="1"/>
                <c:pt idx="0">
                  <c:v>Cash from Investing (CFI)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Raw_Data!$B$3:$G$3</c:f>
              <c:strCache>
                <c:ptCount val="6"/>
                <c:pt idx="0">
                  <c:v>FY2021</c:v>
                </c:pt>
                <c:pt idx="1">
                  <c:v>FY2022</c:v>
                </c:pt>
                <c:pt idx="2">
                  <c:v>FY2023</c:v>
                </c:pt>
                <c:pt idx="3">
                  <c:v>FY2024</c:v>
                </c:pt>
                <c:pt idx="4">
                  <c:v>FY2025</c:v>
                </c:pt>
                <c:pt idx="5">
                  <c:v>5-Yr CAGR</c:v>
                </c:pt>
              </c:strCache>
            </c:strRef>
          </c:cat>
          <c:val>
            <c:numRef>
              <c:f>Raw_Data!$B$29:$G$29</c:f>
              <c:numCache>
                <c:formatCode>#,##0</c:formatCode>
                <c:ptCount val="6"/>
                <c:pt idx="0">
                  <c:v>-7956</c:v>
                </c:pt>
                <c:pt idx="1">
                  <c:v>-738</c:v>
                </c:pt>
                <c:pt idx="2">
                  <c:v>548</c:v>
                </c:pt>
                <c:pt idx="3">
                  <c:v>6091</c:v>
                </c:pt>
                <c:pt idx="4">
                  <c:v>-2144</c:v>
                </c:pt>
                <c:pt idx="5" formatCode="0.0%">
                  <c:v>-0.2795024611540754</c:v>
                </c:pt>
              </c:numCache>
            </c:numRef>
          </c:val>
          <c:extLst>
            <c:ext xmlns:c16="http://schemas.microsoft.com/office/drawing/2014/chart" uri="{C3380CC4-5D6E-409C-BE32-E72D297353CC}">
              <c16:uniqueId val="{00000001-BBD1-427A-A592-B283E7E3152E}"/>
            </c:ext>
          </c:extLst>
        </c:ser>
        <c:ser>
          <c:idx val="2"/>
          <c:order val="2"/>
          <c:tx>
            <c:strRef>
              <c:f>Raw_Data!$A$30</c:f>
              <c:strCache>
                <c:ptCount val="1"/>
                <c:pt idx="0">
                  <c:v>Cash from Financing (CFF)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Raw_Data!$B$3:$G$3</c:f>
              <c:strCache>
                <c:ptCount val="6"/>
                <c:pt idx="0">
                  <c:v>FY2021</c:v>
                </c:pt>
                <c:pt idx="1">
                  <c:v>FY2022</c:v>
                </c:pt>
                <c:pt idx="2">
                  <c:v>FY2023</c:v>
                </c:pt>
                <c:pt idx="3">
                  <c:v>FY2024</c:v>
                </c:pt>
                <c:pt idx="4">
                  <c:v>FY2025</c:v>
                </c:pt>
                <c:pt idx="5">
                  <c:v>5-Yr CAGR</c:v>
                </c:pt>
              </c:strCache>
            </c:strRef>
          </c:cat>
          <c:val>
            <c:numRef>
              <c:f>Raw_Data!$B$30:$G$30</c:f>
              <c:numCache>
                <c:formatCode>#,##0</c:formatCode>
                <c:ptCount val="6"/>
                <c:pt idx="0">
                  <c:v>-32634</c:v>
                </c:pt>
                <c:pt idx="1">
                  <c:v>-33581</c:v>
                </c:pt>
                <c:pt idx="2">
                  <c:v>-47878</c:v>
                </c:pt>
                <c:pt idx="3">
                  <c:v>-48536</c:v>
                </c:pt>
                <c:pt idx="4">
                  <c:v>-47438</c:v>
                </c:pt>
                <c:pt idx="5" formatCode="0.0%">
                  <c:v>9.8029518278432759E-2</c:v>
                </c:pt>
              </c:numCache>
            </c:numRef>
          </c:val>
          <c:extLst>
            <c:ext xmlns:c16="http://schemas.microsoft.com/office/drawing/2014/chart" uri="{C3380CC4-5D6E-409C-BE32-E72D297353CC}">
              <c16:uniqueId val="{00000002-BBD1-427A-A592-B283E7E3152E}"/>
            </c:ext>
          </c:extLst>
        </c:ser>
        <c:dLbls>
          <c:dLblPos val="outEnd"/>
          <c:showLegendKey val="0"/>
          <c:showVal val="1"/>
          <c:showCatName val="0"/>
          <c:showSerName val="0"/>
          <c:showPercent val="0"/>
          <c:showBubbleSize val="0"/>
        </c:dLbls>
        <c:gapWidth val="219"/>
        <c:overlap val="-27"/>
        <c:axId val="1721683712"/>
        <c:axId val="1721708672"/>
      </c:barChart>
      <c:catAx>
        <c:axId val="17216837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21708672"/>
        <c:crosses val="autoZero"/>
        <c:auto val="1"/>
        <c:lblAlgn val="ctr"/>
        <c:lblOffset val="100"/>
        <c:noMultiLvlLbl val="0"/>
      </c:catAx>
      <c:valAx>
        <c:axId val="1721708672"/>
        <c:scaling>
          <c:orientation val="minMax"/>
        </c:scaling>
        <c:delete val="0"/>
        <c:axPos val="l"/>
        <c:majorGridlines>
          <c:spPr>
            <a:ln w="6350" cap="flat" cmpd="sng" algn="ctr">
              <a:solidFill>
                <a:schemeClr val="bg1">
                  <a:lumMod val="85000"/>
                </a:schemeClr>
              </a:solidFill>
              <a:round/>
            </a:ln>
            <a:effectLst/>
          </c:spPr>
        </c:majorGridlines>
        <c:numFmt formatCode="#,##0" sourceLinked="1"/>
        <c:majorTickMark val="none"/>
        <c:minorTickMark val="none"/>
        <c:tickLblPos val="low"/>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21683712"/>
        <c:crosses val="autoZero"/>
        <c:crossBetween val="between"/>
      </c:valAx>
      <c:spPr>
        <a:noFill/>
        <a:ln>
          <a:noFill/>
        </a:ln>
        <a:effectLst/>
      </c:spPr>
    </c:plotArea>
    <c:legend>
      <c:legendPos val="b"/>
      <c:layout>
        <c:manualLayout>
          <c:xMode val="edge"/>
          <c:yMode val="edge"/>
          <c:x val="0.05"/>
          <c:y val="0.91715689464436778"/>
          <c:w val="0.9"/>
          <c:h val="8.284299514107129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Profitability</a:t>
            </a:r>
            <a:r>
              <a:rPr lang="en-IN" b="1" baseline="0">
                <a:solidFill>
                  <a:schemeClr val="tx2"/>
                </a:solidFill>
              </a:rPr>
              <a:t> Treand - Net Margin &amp; ROE (%) </a:t>
            </a:r>
          </a:p>
          <a:p>
            <a:pPr>
              <a:defRPr/>
            </a:pPr>
            <a:r>
              <a:rPr lang="en-IN" b="1" baseline="0">
                <a:solidFill>
                  <a:schemeClr val="tx2"/>
                </a:solidFill>
              </a:rPr>
              <a:t>FY 20221 - FY 2025</a:t>
            </a:r>
            <a:endParaRPr lang="en-IN" b="1">
              <a:solidFill>
                <a:schemeClr val="tx2"/>
              </a:solidFill>
            </a:endParaRPr>
          </a:p>
        </c:rich>
      </c:tx>
      <c:layout>
        <c:manualLayout>
          <c:xMode val="edge"/>
          <c:yMode val="edge"/>
          <c:x val="0.14818044619422571"/>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Ratio_Analysis!$A$6</c:f>
              <c:strCache>
                <c:ptCount val="1"/>
                <c:pt idx="0">
                  <c:v>Net Profit Margin</c:v>
                </c:pt>
              </c:strCache>
            </c:strRef>
          </c:tx>
          <c:spPr>
            <a:ln w="28575" cap="rnd">
              <a:solidFill>
                <a:schemeClr val="accent6">
                  <a:lumMod val="750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Ratio_Analysis!$B$3:$F$3</c:f>
              <c:strCache>
                <c:ptCount val="5"/>
                <c:pt idx="0">
                  <c:v>FY2021</c:v>
                </c:pt>
                <c:pt idx="1">
                  <c:v>FY2022</c:v>
                </c:pt>
                <c:pt idx="2">
                  <c:v>FY2023</c:v>
                </c:pt>
                <c:pt idx="3">
                  <c:v>FY2024</c:v>
                </c:pt>
                <c:pt idx="4">
                  <c:v>FY2025</c:v>
                </c:pt>
              </c:strCache>
            </c:strRef>
          </c:cat>
          <c:val>
            <c:numRef>
              <c:f>Ratio_Analysis!$B$6:$F$6</c:f>
              <c:numCache>
                <c:formatCode>0.0%</c:formatCode>
                <c:ptCount val="5"/>
                <c:pt idx="0">
                  <c:v>0.19753071380278603</c:v>
                </c:pt>
                <c:pt idx="1">
                  <c:v>0.19987588264130082</c:v>
                </c:pt>
                <c:pt idx="2">
                  <c:v>0.18693947431450647</c:v>
                </c:pt>
                <c:pt idx="3">
                  <c:v>0.19057423835478823</c:v>
                </c:pt>
                <c:pt idx="4">
                  <c:v>0.1901623035828986</c:v>
                </c:pt>
              </c:numCache>
            </c:numRef>
          </c:val>
          <c:smooth val="0"/>
          <c:extLst>
            <c:ext xmlns:c16="http://schemas.microsoft.com/office/drawing/2014/chart" uri="{C3380CC4-5D6E-409C-BE32-E72D297353CC}">
              <c16:uniqueId val="{00000000-5CAA-4933-8027-056AA9633BAB}"/>
            </c:ext>
          </c:extLst>
        </c:ser>
        <c:ser>
          <c:idx val="1"/>
          <c:order val="1"/>
          <c:tx>
            <c:strRef>
              <c:f>Ratio_Analysis!$A$10</c:f>
              <c:strCache>
                <c:ptCount val="1"/>
                <c:pt idx="0">
                  <c:v>Return on Equity (ROE)</c:v>
                </c:pt>
              </c:strCache>
            </c:strRef>
          </c:tx>
          <c:spPr>
            <a:ln w="28575" cap="rnd">
              <a:solidFill>
                <a:srgbClr val="1C2833"/>
              </a:solidFill>
              <a:round/>
            </a:ln>
            <a:effectLst/>
          </c:spPr>
          <c:marker>
            <c:symbol val="circle"/>
            <c:size val="5"/>
            <c:spPr>
              <a:solidFill>
                <a:schemeClr val="dk1">
                  <a:tint val="55000"/>
                </a:schemeClr>
              </a:solidFill>
              <a:ln w="9525">
                <a:solidFill>
                  <a:schemeClr val="dk1">
                    <a:tint val="5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Ratio_Analysis!$B$3:$F$3</c:f>
              <c:strCache>
                <c:ptCount val="5"/>
                <c:pt idx="0">
                  <c:v>FY2021</c:v>
                </c:pt>
                <c:pt idx="1">
                  <c:v>FY2022</c:v>
                </c:pt>
                <c:pt idx="2">
                  <c:v>FY2023</c:v>
                </c:pt>
                <c:pt idx="3">
                  <c:v>FY2024</c:v>
                </c:pt>
                <c:pt idx="4">
                  <c:v>FY2025</c:v>
                </c:pt>
              </c:strCache>
            </c:strRef>
          </c:cat>
          <c:val>
            <c:numRef>
              <c:f>Ratio_Analysis!$B$10:$F$10</c:f>
              <c:numCache>
                <c:formatCode>0.0%</c:formatCode>
                <c:ptCount val="5"/>
                <c:pt idx="0">
                  <c:v>0.37520391517128876</c:v>
                </c:pt>
                <c:pt idx="1">
                  <c:v>0.42996892493745725</c:v>
                </c:pt>
                <c:pt idx="2">
                  <c:v>0.46610413164646552</c:v>
                </c:pt>
                <c:pt idx="3">
                  <c:v>0.50733238294157301</c:v>
                </c:pt>
                <c:pt idx="4">
                  <c:v>0.51240027016758838</c:v>
                </c:pt>
              </c:numCache>
            </c:numRef>
          </c:val>
          <c:smooth val="0"/>
          <c:extLst>
            <c:ext xmlns:c16="http://schemas.microsoft.com/office/drawing/2014/chart" uri="{C3380CC4-5D6E-409C-BE32-E72D297353CC}">
              <c16:uniqueId val="{00000001-5CAA-4933-8027-056AA9633BAB}"/>
            </c:ext>
          </c:extLst>
        </c:ser>
        <c:dLbls>
          <c:dLblPos val="t"/>
          <c:showLegendKey val="0"/>
          <c:showVal val="1"/>
          <c:showCatName val="0"/>
          <c:showSerName val="0"/>
          <c:showPercent val="0"/>
          <c:showBubbleSize val="0"/>
        </c:dLbls>
        <c:marker val="1"/>
        <c:smooth val="0"/>
        <c:axId val="1640984367"/>
        <c:axId val="1640986287"/>
      </c:lineChart>
      <c:catAx>
        <c:axId val="16409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86287"/>
        <c:crosses val="autoZero"/>
        <c:auto val="1"/>
        <c:lblAlgn val="ctr"/>
        <c:lblOffset val="100"/>
        <c:noMultiLvlLbl val="0"/>
      </c:catAx>
      <c:valAx>
        <c:axId val="1640986287"/>
        <c:scaling>
          <c:orientation val="minMax"/>
        </c:scaling>
        <c:delete val="0"/>
        <c:axPos val="l"/>
        <c:majorGridlines>
          <c:spPr>
            <a:ln w="6350" cap="flat" cmpd="sng" algn="ctr">
              <a:solidFill>
                <a:schemeClr val="bg1">
                  <a:lumMod val="7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84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solidFill>
              </a:rPr>
              <a:t>EPS Growth Trend — FY2021 to FY2025 (₹)</a:t>
            </a:r>
            <a:endParaRPr lang="en-US" b="1">
              <a:solidFill>
                <a:schemeClr val="tx2"/>
              </a:solidFill>
            </a:endParaRPr>
          </a:p>
        </c:rich>
      </c:tx>
      <c:layout>
        <c:manualLayout>
          <c:xMode val="edge"/>
          <c:yMode val="edge"/>
          <c:x val="0.1564722222222222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Ratio_Analysis!$A$30</c:f>
              <c:strCache>
                <c:ptCount val="1"/>
                <c:pt idx="0">
                  <c:v>Earnings Per Share — EPS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Ratio_Analysis!$B$3:$F$3</c:f>
              <c:strCache>
                <c:ptCount val="5"/>
                <c:pt idx="0">
                  <c:v>FY2021</c:v>
                </c:pt>
                <c:pt idx="1">
                  <c:v>FY2022</c:v>
                </c:pt>
                <c:pt idx="2">
                  <c:v>FY2023</c:v>
                </c:pt>
                <c:pt idx="3">
                  <c:v>FY2024</c:v>
                </c:pt>
                <c:pt idx="4">
                  <c:v>FY2025</c:v>
                </c:pt>
              </c:strCache>
            </c:strRef>
          </c:cat>
          <c:val>
            <c:numRef>
              <c:f>Ratio_Analysis!$B$30:$F$30</c:f>
              <c:numCache>
                <c:formatCode>0.00</c:formatCode>
                <c:ptCount val="5"/>
                <c:pt idx="0">
                  <c:v>8766.9973777405303</c:v>
                </c:pt>
                <c:pt idx="1">
                  <c:v>10474.433603891666</c:v>
                </c:pt>
                <c:pt idx="2">
                  <c:v>11518.40616545052</c:v>
                </c:pt>
                <c:pt idx="3">
                  <c:v>12688.427627760426</c:v>
                </c:pt>
                <c:pt idx="4">
                  <c:v>13419.474309720572</c:v>
                </c:pt>
              </c:numCache>
            </c:numRef>
          </c:val>
          <c:extLst>
            <c:ext xmlns:c16="http://schemas.microsoft.com/office/drawing/2014/chart" uri="{C3380CC4-5D6E-409C-BE32-E72D297353CC}">
              <c16:uniqueId val="{00000000-F25E-4C1D-8A92-1E5E26F64E3D}"/>
            </c:ext>
          </c:extLst>
        </c:ser>
        <c:dLbls>
          <c:dLblPos val="outEnd"/>
          <c:showLegendKey val="0"/>
          <c:showVal val="1"/>
          <c:showCatName val="0"/>
          <c:showSerName val="0"/>
          <c:showPercent val="0"/>
          <c:showBubbleSize val="0"/>
        </c:dLbls>
        <c:gapWidth val="219"/>
        <c:overlap val="-27"/>
        <c:axId val="1721690912"/>
        <c:axId val="1721689472"/>
      </c:barChart>
      <c:catAx>
        <c:axId val="17216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89472"/>
        <c:crosses val="autoZero"/>
        <c:auto val="1"/>
        <c:lblAlgn val="ctr"/>
        <c:lblOffset val="100"/>
        <c:noMultiLvlLbl val="0"/>
      </c:catAx>
      <c:valAx>
        <c:axId val="1721689472"/>
        <c:scaling>
          <c:orientation val="minMax"/>
        </c:scaling>
        <c:delete val="0"/>
        <c:axPos val="l"/>
        <c:majorGridlines>
          <c:spPr>
            <a:ln w="6350"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9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solidFill>
              </a:rPr>
              <a:t>Solvency Ratios — D/E vs Interest Coverage FY2021–2025</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Ratio_Analysis!$A$20</c:f>
              <c:strCache>
                <c:ptCount val="1"/>
                <c:pt idx="0">
                  <c:v>Debt-to-Equity Ratio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Ratio_Analysis!$B$3:$F$3</c:f>
              <c:strCache>
                <c:ptCount val="5"/>
                <c:pt idx="0">
                  <c:v>FY2021</c:v>
                </c:pt>
                <c:pt idx="1">
                  <c:v>FY2022</c:v>
                </c:pt>
                <c:pt idx="2">
                  <c:v>FY2023</c:v>
                </c:pt>
                <c:pt idx="3">
                  <c:v>FY2024</c:v>
                </c:pt>
                <c:pt idx="4">
                  <c:v>FY2025</c:v>
                </c:pt>
              </c:strCache>
            </c:strRef>
          </c:cat>
          <c:val>
            <c:numRef>
              <c:f>Ratio_Analysis!$B$20:$F$20</c:f>
              <c:numCache>
                <c:formatCode>0.00\x</c:formatCode>
                <c:ptCount val="5"/>
                <c:pt idx="0">
                  <c:v>9.0185461571390554E-2</c:v>
                </c:pt>
                <c:pt idx="1">
                  <c:v>8.7705718035876554E-2</c:v>
                </c:pt>
                <c:pt idx="2">
                  <c:v>8.5021675661328858E-2</c:v>
                </c:pt>
                <c:pt idx="3">
                  <c:v>8.8640608250726602E-2</c:v>
                </c:pt>
                <c:pt idx="4">
                  <c:v>9.9117733969352861E-2</c:v>
                </c:pt>
              </c:numCache>
            </c:numRef>
          </c:val>
          <c:extLst>
            <c:ext xmlns:c16="http://schemas.microsoft.com/office/drawing/2014/chart" uri="{C3380CC4-5D6E-409C-BE32-E72D297353CC}">
              <c16:uniqueId val="{00000000-665B-4C94-A33B-0F693B81A764}"/>
            </c:ext>
          </c:extLst>
        </c:ser>
        <c:dLbls>
          <c:dLblPos val="outEnd"/>
          <c:showLegendKey val="0"/>
          <c:showVal val="1"/>
          <c:showCatName val="0"/>
          <c:showSerName val="0"/>
          <c:showPercent val="0"/>
          <c:showBubbleSize val="0"/>
        </c:dLbls>
        <c:gapWidth val="219"/>
        <c:axId val="1721658272"/>
        <c:axId val="1721648672"/>
      </c:barChart>
      <c:lineChart>
        <c:grouping val="standard"/>
        <c:varyColors val="0"/>
        <c:ser>
          <c:idx val="1"/>
          <c:order val="1"/>
          <c:tx>
            <c:strRef>
              <c:f>Ratio_Analysis!$A$21</c:f>
              <c:strCache>
                <c:ptCount val="1"/>
                <c:pt idx="0">
                  <c:v>Interest Coverage Ratio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Ratio_Analysis!$B$3:$F$3</c:f>
              <c:strCache>
                <c:ptCount val="5"/>
                <c:pt idx="0">
                  <c:v>FY2021</c:v>
                </c:pt>
                <c:pt idx="1">
                  <c:v>FY2022</c:v>
                </c:pt>
                <c:pt idx="2">
                  <c:v>FY2023</c:v>
                </c:pt>
                <c:pt idx="3">
                  <c:v>FY2024</c:v>
                </c:pt>
                <c:pt idx="4">
                  <c:v>FY2025</c:v>
                </c:pt>
              </c:strCache>
            </c:strRef>
          </c:cat>
          <c:val>
            <c:numRef>
              <c:f>Ratio_Analysis!$B$21:$F$21</c:f>
              <c:numCache>
                <c:formatCode>0.0\x</c:formatCode>
                <c:ptCount val="5"/>
                <c:pt idx="0">
                  <c:v>71.704866562009414</c:v>
                </c:pt>
                <c:pt idx="1">
                  <c:v>67.654336734693871</c:v>
                </c:pt>
                <c:pt idx="2">
                  <c:v>73.051347881899872</c:v>
                </c:pt>
                <c:pt idx="3">
                  <c:v>79.68766066838046</c:v>
                </c:pt>
                <c:pt idx="4">
                  <c:v>80.958542713567837</c:v>
                </c:pt>
              </c:numCache>
            </c:numRef>
          </c:val>
          <c:smooth val="0"/>
          <c:extLst>
            <c:ext xmlns:c16="http://schemas.microsoft.com/office/drawing/2014/chart" uri="{C3380CC4-5D6E-409C-BE32-E72D297353CC}">
              <c16:uniqueId val="{00000001-665B-4C94-A33B-0F693B81A764}"/>
            </c:ext>
          </c:extLst>
        </c:ser>
        <c:dLbls>
          <c:showLegendKey val="0"/>
          <c:showVal val="1"/>
          <c:showCatName val="0"/>
          <c:showSerName val="0"/>
          <c:showPercent val="0"/>
          <c:showBubbleSize val="0"/>
        </c:dLbls>
        <c:marker val="1"/>
        <c:smooth val="0"/>
        <c:axId val="1721650592"/>
        <c:axId val="1721676512"/>
      </c:lineChart>
      <c:catAx>
        <c:axId val="172165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48672"/>
        <c:crosses val="autoZero"/>
        <c:auto val="1"/>
        <c:lblAlgn val="ctr"/>
        <c:lblOffset val="100"/>
        <c:noMultiLvlLbl val="0"/>
      </c:catAx>
      <c:valAx>
        <c:axId val="1721648672"/>
        <c:scaling>
          <c:orientation val="minMax"/>
        </c:scaling>
        <c:delete val="0"/>
        <c:axPos val="l"/>
        <c:majorGridlines>
          <c:spPr>
            <a:ln w="6350" cap="flat" cmpd="sng" algn="ctr">
              <a:solidFill>
                <a:schemeClr val="tx1">
                  <a:lumMod val="15000"/>
                  <a:lumOff val="85000"/>
                </a:schemeClr>
              </a:solidFill>
              <a:round/>
            </a:ln>
            <a:effectLst/>
          </c:spPr>
        </c:majorGridlines>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58272"/>
        <c:crosses val="autoZero"/>
        <c:crossBetween val="between"/>
      </c:valAx>
      <c:valAx>
        <c:axId val="1721676512"/>
        <c:scaling>
          <c:orientation val="minMax"/>
        </c:scaling>
        <c:delete val="0"/>
        <c:axPos val="r"/>
        <c:numFmt formatCode="0.0\x"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50592"/>
        <c:crosses val="max"/>
        <c:crossBetween val="between"/>
      </c:valAx>
      <c:catAx>
        <c:axId val="1721650592"/>
        <c:scaling>
          <c:orientation val="minMax"/>
        </c:scaling>
        <c:delete val="1"/>
        <c:axPos val="b"/>
        <c:numFmt formatCode="General" sourceLinked="1"/>
        <c:majorTickMark val="out"/>
        <c:minorTickMark val="none"/>
        <c:tickLblPos val="nextTo"/>
        <c:crossAx val="17216765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1">
                <a:solidFill>
                  <a:schemeClr val="tx2"/>
                </a:solidFill>
              </a:rPr>
              <a:t> Revenue</a:t>
            </a:r>
            <a:r>
              <a:rPr lang="en-IN" sz="1000" b="1" baseline="0">
                <a:solidFill>
                  <a:schemeClr val="tx2"/>
                </a:solidFill>
              </a:rPr>
              <a:t> Vs Net Profit- FY 2021 to FY 2025 (₹crores)</a:t>
            </a:r>
            <a:endParaRPr lang="en-IN" sz="1000" b="1">
              <a:solidFill>
                <a:schemeClr val="tx2"/>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KPI_Dashboard!$A$10</c:f>
              <c:strCache>
                <c:ptCount val="1"/>
                <c:pt idx="0">
                  <c:v>Revenue (₹ Cr)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KPI_Dashboard!$B$9:$F$9</c:f>
              <c:strCache>
                <c:ptCount val="5"/>
                <c:pt idx="0">
                  <c:v>FY2021</c:v>
                </c:pt>
                <c:pt idx="1">
                  <c:v>FY2022</c:v>
                </c:pt>
                <c:pt idx="2">
                  <c:v>FY2023</c:v>
                </c:pt>
                <c:pt idx="3">
                  <c:v>FY2024</c:v>
                </c:pt>
                <c:pt idx="4">
                  <c:v>FY2025</c:v>
                </c:pt>
              </c:strCache>
            </c:strRef>
          </c:cat>
          <c:val>
            <c:numRef>
              <c:f>KPI_Dashboard!$B$10:$F$10</c:f>
              <c:numCache>
                <c:formatCode>#,##0</c:formatCode>
                <c:ptCount val="5"/>
                <c:pt idx="0">
                  <c:v>164177</c:v>
                </c:pt>
                <c:pt idx="1">
                  <c:v>191754</c:v>
                </c:pt>
                <c:pt idx="2">
                  <c:v>225458</c:v>
                </c:pt>
                <c:pt idx="3">
                  <c:v>240893</c:v>
                </c:pt>
                <c:pt idx="4">
                  <c:v>255324</c:v>
                </c:pt>
              </c:numCache>
            </c:numRef>
          </c:val>
          <c:extLst>
            <c:ext xmlns:c16="http://schemas.microsoft.com/office/drawing/2014/chart" uri="{C3380CC4-5D6E-409C-BE32-E72D297353CC}">
              <c16:uniqueId val="{00000000-D92C-4A62-B298-D6E9B2A19CB4}"/>
            </c:ext>
          </c:extLst>
        </c:ser>
        <c:ser>
          <c:idx val="1"/>
          <c:order val="1"/>
          <c:tx>
            <c:strRef>
              <c:f>KPI_Dashboard!$A$11</c:f>
              <c:strCache>
                <c:ptCount val="1"/>
                <c:pt idx="0">
                  <c:v>Net Profit (₹ Cr)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KPI_Dashboard!$B$9:$F$9</c:f>
              <c:strCache>
                <c:ptCount val="5"/>
                <c:pt idx="0">
                  <c:v>FY2021</c:v>
                </c:pt>
                <c:pt idx="1">
                  <c:v>FY2022</c:v>
                </c:pt>
                <c:pt idx="2">
                  <c:v>FY2023</c:v>
                </c:pt>
                <c:pt idx="3">
                  <c:v>FY2024</c:v>
                </c:pt>
                <c:pt idx="4">
                  <c:v>FY2025</c:v>
                </c:pt>
              </c:strCache>
            </c:strRef>
          </c:cat>
          <c:val>
            <c:numRef>
              <c:f>KPI_Dashboard!$B$11:$F$11</c:f>
              <c:numCache>
                <c:formatCode>#,##0</c:formatCode>
                <c:ptCount val="5"/>
                <c:pt idx="0">
                  <c:v>32430</c:v>
                </c:pt>
                <c:pt idx="1">
                  <c:v>38327</c:v>
                </c:pt>
                <c:pt idx="2">
                  <c:v>42147</c:v>
                </c:pt>
                <c:pt idx="3">
                  <c:v>45908</c:v>
                </c:pt>
                <c:pt idx="4">
                  <c:v>48553</c:v>
                </c:pt>
              </c:numCache>
            </c:numRef>
          </c:val>
          <c:extLst>
            <c:ext xmlns:c16="http://schemas.microsoft.com/office/drawing/2014/chart" uri="{C3380CC4-5D6E-409C-BE32-E72D297353CC}">
              <c16:uniqueId val="{00000001-D92C-4A62-B298-D6E9B2A19CB4}"/>
            </c:ext>
          </c:extLst>
        </c:ser>
        <c:dLbls>
          <c:dLblPos val="outEnd"/>
          <c:showLegendKey val="0"/>
          <c:showVal val="1"/>
          <c:showCatName val="0"/>
          <c:showSerName val="0"/>
          <c:showPercent val="0"/>
          <c:showBubbleSize val="0"/>
        </c:dLbls>
        <c:gapWidth val="80"/>
        <c:overlap val="-27"/>
        <c:axId val="298548767"/>
        <c:axId val="298553087"/>
      </c:barChart>
      <c:catAx>
        <c:axId val="29854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98553087"/>
        <c:crosses val="autoZero"/>
        <c:auto val="1"/>
        <c:lblAlgn val="ctr"/>
        <c:lblOffset val="100"/>
        <c:noMultiLvlLbl val="0"/>
      </c:catAx>
      <c:valAx>
        <c:axId val="298553087"/>
        <c:scaling>
          <c:orientation val="minMax"/>
        </c:scaling>
        <c:delete val="0"/>
        <c:axPos val="l"/>
        <c:majorGridlines>
          <c:spPr>
            <a:ln w="6350"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48767"/>
        <c:crosses val="autoZero"/>
        <c:crossBetween val="between"/>
      </c:valAx>
      <c:spPr>
        <a:noFill/>
        <a:ln w="635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1">
                <a:solidFill>
                  <a:schemeClr val="tx2"/>
                </a:solidFill>
              </a:rPr>
              <a:t> Revenue</a:t>
            </a:r>
            <a:r>
              <a:rPr lang="en-IN" sz="1000" b="1" baseline="0">
                <a:solidFill>
                  <a:schemeClr val="tx2"/>
                </a:solidFill>
              </a:rPr>
              <a:t> Vs Net Profit- FY 2021 to FY 2025 (₹crores)</a:t>
            </a:r>
            <a:endParaRPr lang="en-IN" sz="1000" b="1">
              <a:solidFill>
                <a:schemeClr val="tx2"/>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KPI_Dashboard!$A$10</c:f>
              <c:strCache>
                <c:ptCount val="1"/>
                <c:pt idx="0">
                  <c:v>Revenue (₹ Cr)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KPI_Dashboard!$B$9:$F$9</c:f>
              <c:strCache>
                <c:ptCount val="5"/>
                <c:pt idx="0">
                  <c:v>FY2021</c:v>
                </c:pt>
                <c:pt idx="1">
                  <c:v>FY2022</c:v>
                </c:pt>
                <c:pt idx="2">
                  <c:v>FY2023</c:v>
                </c:pt>
                <c:pt idx="3">
                  <c:v>FY2024</c:v>
                </c:pt>
                <c:pt idx="4">
                  <c:v>FY2025</c:v>
                </c:pt>
              </c:strCache>
            </c:strRef>
          </c:cat>
          <c:val>
            <c:numRef>
              <c:f>KPI_Dashboard!$B$10:$F$10</c:f>
              <c:numCache>
                <c:formatCode>#,##0</c:formatCode>
                <c:ptCount val="5"/>
                <c:pt idx="0">
                  <c:v>164177</c:v>
                </c:pt>
                <c:pt idx="1">
                  <c:v>191754</c:v>
                </c:pt>
                <c:pt idx="2">
                  <c:v>225458</c:v>
                </c:pt>
                <c:pt idx="3">
                  <c:v>240893</c:v>
                </c:pt>
                <c:pt idx="4">
                  <c:v>255324</c:v>
                </c:pt>
              </c:numCache>
            </c:numRef>
          </c:val>
          <c:extLst>
            <c:ext xmlns:c16="http://schemas.microsoft.com/office/drawing/2014/chart" uri="{C3380CC4-5D6E-409C-BE32-E72D297353CC}">
              <c16:uniqueId val="{00000000-C577-4D01-AC65-BFCD131A15F1}"/>
            </c:ext>
          </c:extLst>
        </c:ser>
        <c:ser>
          <c:idx val="1"/>
          <c:order val="1"/>
          <c:tx>
            <c:strRef>
              <c:f>KPI_Dashboard!$A$11</c:f>
              <c:strCache>
                <c:ptCount val="1"/>
                <c:pt idx="0">
                  <c:v>Net Profit (₹ Cr)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KPI_Dashboard!$B$9:$F$9</c:f>
              <c:strCache>
                <c:ptCount val="5"/>
                <c:pt idx="0">
                  <c:v>FY2021</c:v>
                </c:pt>
                <c:pt idx="1">
                  <c:v>FY2022</c:v>
                </c:pt>
                <c:pt idx="2">
                  <c:v>FY2023</c:v>
                </c:pt>
                <c:pt idx="3">
                  <c:v>FY2024</c:v>
                </c:pt>
                <c:pt idx="4">
                  <c:v>FY2025</c:v>
                </c:pt>
              </c:strCache>
            </c:strRef>
          </c:cat>
          <c:val>
            <c:numRef>
              <c:f>KPI_Dashboard!$B$11:$F$11</c:f>
              <c:numCache>
                <c:formatCode>#,##0</c:formatCode>
                <c:ptCount val="5"/>
                <c:pt idx="0">
                  <c:v>32430</c:v>
                </c:pt>
                <c:pt idx="1">
                  <c:v>38327</c:v>
                </c:pt>
                <c:pt idx="2">
                  <c:v>42147</c:v>
                </c:pt>
                <c:pt idx="3">
                  <c:v>45908</c:v>
                </c:pt>
                <c:pt idx="4">
                  <c:v>48553</c:v>
                </c:pt>
              </c:numCache>
            </c:numRef>
          </c:val>
          <c:extLst>
            <c:ext xmlns:c16="http://schemas.microsoft.com/office/drawing/2014/chart" uri="{C3380CC4-5D6E-409C-BE32-E72D297353CC}">
              <c16:uniqueId val="{00000001-C577-4D01-AC65-BFCD131A15F1}"/>
            </c:ext>
          </c:extLst>
        </c:ser>
        <c:dLbls>
          <c:dLblPos val="outEnd"/>
          <c:showLegendKey val="0"/>
          <c:showVal val="1"/>
          <c:showCatName val="0"/>
          <c:showSerName val="0"/>
          <c:showPercent val="0"/>
          <c:showBubbleSize val="0"/>
        </c:dLbls>
        <c:gapWidth val="80"/>
        <c:overlap val="-27"/>
        <c:axId val="298548767"/>
        <c:axId val="298553087"/>
      </c:barChart>
      <c:catAx>
        <c:axId val="29854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98553087"/>
        <c:crosses val="autoZero"/>
        <c:auto val="1"/>
        <c:lblAlgn val="ctr"/>
        <c:lblOffset val="100"/>
        <c:noMultiLvlLbl val="0"/>
      </c:catAx>
      <c:valAx>
        <c:axId val="2985530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48767"/>
        <c:crosses val="autoZero"/>
        <c:crossBetween val="between"/>
      </c:valAx>
      <c:spPr>
        <a:noFill/>
        <a:ln w="635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Profitability</a:t>
            </a:r>
            <a:r>
              <a:rPr lang="en-IN" b="1" baseline="0">
                <a:solidFill>
                  <a:schemeClr val="tx2"/>
                </a:solidFill>
              </a:rPr>
              <a:t> Treand - Net Margin &amp; ROE (%) </a:t>
            </a:r>
          </a:p>
          <a:p>
            <a:pPr>
              <a:defRPr/>
            </a:pPr>
            <a:r>
              <a:rPr lang="en-IN" b="1" baseline="0">
                <a:solidFill>
                  <a:schemeClr val="tx2"/>
                </a:solidFill>
              </a:rPr>
              <a:t>FY 20221 - FY 2025</a:t>
            </a:r>
            <a:endParaRPr lang="en-IN" b="1">
              <a:solidFill>
                <a:schemeClr val="tx2"/>
              </a:solidFill>
            </a:endParaRPr>
          </a:p>
        </c:rich>
      </c:tx>
      <c:layout>
        <c:manualLayout>
          <c:xMode val="edge"/>
          <c:yMode val="edge"/>
          <c:x val="0.14818054032352071"/>
          <c:y val="7.87038477941405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Ratio_Analysis!$A$6</c:f>
              <c:strCache>
                <c:ptCount val="1"/>
                <c:pt idx="0">
                  <c:v>Net Profit Margin</c:v>
                </c:pt>
              </c:strCache>
            </c:strRef>
          </c:tx>
          <c:spPr>
            <a:ln w="28575" cap="rnd">
              <a:solidFill>
                <a:schemeClr val="accent6">
                  <a:lumMod val="750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Ratio_Analysis!$B$3:$F$3</c:f>
              <c:strCache>
                <c:ptCount val="5"/>
                <c:pt idx="0">
                  <c:v>FY2021</c:v>
                </c:pt>
                <c:pt idx="1">
                  <c:v>FY2022</c:v>
                </c:pt>
                <c:pt idx="2">
                  <c:v>FY2023</c:v>
                </c:pt>
                <c:pt idx="3">
                  <c:v>FY2024</c:v>
                </c:pt>
                <c:pt idx="4">
                  <c:v>FY2025</c:v>
                </c:pt>
              </c:strCache>
            </c:strRef>
          </c:cat>
          <c:val>
            <c:numRef>
              <c:f>Ratio_Analysis!$B$6:$F$6</c:f>
              <c:numCache>
                <c:formatCode>0.0%</c:formatCode>
                <c:ptCount val="5"/>
                <c:pt idx="0">
                  <c:v>0.19753071380278603</c:v>
                </c:pt>
                <c:pt idx="1">
                  <c:v>0.19987588264130082</c:v>
                </c:pt>
                <c:pt idx="2">
                  <c:v>0.18693947431450647</c:v>
                </c:pt>
                <c:pt idx="3">
                  <c:v>0.19057423835478823</c:v>
                </c:pt>
                <c:pt idx="4">
                  <c:v>0.1901623035828986</c:v>
                </c:pt>
              </c:numCache>
            </c:numRef>
          </c:val>
          <c:smooth val="0"/>
          <c:extLst>
            <c:ext xmlns:c16="http://schemas.microsoft.com/office/drawing/2014/chart" uri="{C3380CC4-5D6E-409C-BE32-E72D297353CC}">
              <c16:uniqueId val="{00000000-DAF2-4FB5-8004-E0ECDC4FC308}"/>
            </c:ext>
          </c:extLst>
        </c:ser>
        <c:ser>
          <c:idx val="1"/>
          <c:order val="1"/>
          <c:tx>
            <c:strRef>
              <c:f>Ratio_Analysis!$A$10</c:f>
              <c:strCache>
                <c:ptCount val="1"/>
                <c:pt idx="0">
                  <c:v>Return on Equity (ROE)</c:v>
                </c:pt>
              </c:strCache>
            </c:strRef>
          </c:tx>
          <c:spPr>
            <a:ln w="28575" cap="rnd">
              <a:solidFill>
                <a:srgbClr val="1C2833"/>
              </a:solidFill>
              <a:round/>
            </a:ln>
            <a:effectLst/>
          </c:spPr>
          <c:marker>
            <c:symbol val="circle"/>
            <c:size val="5"/>
            <c:spPr>
              <a:solidFill>
                <a:schemeClr val="dk1">
                  <a:tint val="55000"/>
                </a:schemeClr>
              </a:solidFill>
              <a:ln w="9525">
                <a:solidFill>
                  <a:schemeClr val="dk1">
                    <a:tint val="5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Ratio_Analysis!$B$3:$F$3</c:f>
              <c:strCache>
                <c:ptCount val="5"/>
                <c:pt idx="0">
                  <c:v>FY2021</c:v>
                </c:pt>
                <c:pt idx="1">
                  <c:v>FY2022</c:v>
                </c:pt>
                <c:pt idx="2">
                  <c:v>FY2023</c:v>
                </c:pt>
                <c:pt idx="3">
                  <c:v>FY2024</c:v>
                </c:pt>
                <c:pt idx="4">
                  <c:v>FY2025</c:v>
                </c:pt>
              </c:strCache>
            </c:strRef>
          </c:cat>
          <c:val>
            <c:numRef>
              <c:f>Ratio_Analysis!$B$10:$F$10</c:f>
              <c:numCache>
                <c:formatCode>0.0%</c:formatCode>
                <c:ptCount val="5"/>
                <c:pt idx="0">
                  <c:v>0.37520391517128876</c:v>
                </c:pt>
                <c:pt idx="1">
                  <c:v>0.42996892493745725</c:v>
                </c:pt>
                <c:pt idx="2">
                  <c:v>0.46610413164646552</c:v>
                </c:pt>
                <c:pt idx="3">
                  <c:v>0.50733238294157301</c:v>
                </c:pt>
                <c:pt idx="4">
                  <c:v>0.51240027016758838</c:v>
                </c:pt>
              </c:numCache>
            </c:numRef>
          </c:val>
          <c:smooth val="0"/>
          <c:extLst>
            <c:ext xmlns:c16="http://schemas.microsoft.com/office/drawing/2014/chart" uri="{C3380CC4-5D6E-409C-BE32-E72D297353CC}">
              <c16:uniqueId val="{00000001-DAF2-4FB5-8004-E0ECDC4FC308}"/>
            </c:ext>
          </c:extLst>
        </c:ser>
        <c:dLbls>
          <c:dLblPos val="t"/>
          <c:showLegendKey val="0"/>
          <c:showVal val="1"/>
          <c:showCatName val="0"/>
          <c:showSerName val="0"/>
          <c:showPercent val="0"/>
          <c:showBubbleSize val="0"/>
        </c:dLbls>
        <c:marker val="1"/>
        <c:smooth val="0"/>
        <c:axId val="1640984367"/>
        <c:axId val="1640986287"/>
      </c:lineChart>
      <c:catAx>
        <c:axId val="16409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86287"/>
        <c:crosses val="autoZero"/>
        <c:auto val="1"/>
        <c:lblAlgn val="ctr"/>
        <c:lblOffset val="100"/>
        <c:noMultiLvlLbl val="0"/>
      </c:catAx>
      <c:valAx>
        <c:axId val="16409862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84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solidFill>
              </a:rPr>
              <a:t>EPS Growth Trend — FY2021 to FY2025 (₹)</a:t>
            </a:r>
            <a:endParaRPr lang="en-US" b="1">
              <a:solidFill>
                <a:schemeClr val="tx2"/>
              </a:solidFill>
            </a:endParaRPr>
          </a:p>
        </c:rich>
      </c:tx>
      <c:layout>
        <c:manualLayout>
          <c:xMode val="edge"/>
          <c:yMode val="edge"/>
          <c:x val="0.1564722222222222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Ratio_Analysis!$A$30</c:f>
              <c:strCache>
                <c:ptCount val="1"/>
                <c:pt idx="0">
                  <c:v>Earnings Per Share — EPS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Ratio_Analysis!$B$3:$F$3</c:f>
              <c:strCache>
                <c:ptCount val="5"/>
                <c:pt idx="0">
                  <c:v>FY2021</c:v>
                </c:pt>
                <c:pt idx="1">
                  <c:v>FY2022</c:v>
                </c:pt>
                <c:pt idx="2">
                  <c:v>FY2023</c:v>
                </c:pt>
                <c:pt idx="3">
                  <c:v>FY2024</c:v>
                </c:pt>
                <c:pt idx="4">
                  <c:v>FY2025</c:v>
                </c:pt>
              </c:strCache>
            </c:strRef>
          </c:cat>
          <c:val>
            <c:numRef>
              <c:f>Ratio_Analysis!$B$30:$F$30</c:f>
              <c:numCache>
                <c:formatCode>0.00</c:formatCode>
                <c:ptCount val="5"/>
                <c:pt idx="0">
                  <c:v>8766.9973777405303</c:v>
                </c:pt>
                <c:pt idx="1">
                  <c:v>10474.433603891666</c:v>
                </c:pt>
                <c:pt idx="2">
                  <c:v>11518.40616545052</c:v>
                </c:pt>
                <c:pt idx="3">
                  <c:v>12688.427627760426</c:v>
                </c:pt>
                <c:pt idx="4">
                  <c:v>13419.474309720572</c:v>
                </c:pt>
              </c:numCache>
            </c:numRef>
          </c:val>
          <c:extLst>
            <c:ext xmlns:c16="http://schemas.microsoft.com/office/drawing/2014/chart" uri="{C3380CC4-5D6E-409C-BE32-E72D297353CC}">
              <c16:uniqueId val="{00000001-445F-4B7A-AB78-954F17053637}"/>
            </c:ext>
          </c:extLst>
        </c:ser>
        <c:dLbls>
          <c:dLblPos val="outEnd"/>
          <c:showLegendKey val="0"/>
          <c:showVal val="1"/>
          <c:showCatName val="0"/>
          <c:showSerName val="0"/>
          <c:showPercent val="0"/>
          <c:showBubbleSize val="0"/>
        </c:dLbls>
        <c:gapWidth val="219"/>
        <c:overlap val="-27"/>
        <c:axId val="1721690912"/>
        <c:axId val="1721689472"/>
      </c:barChart>
      <c:catAx>
        <c:axId val="17216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89472"/>
        <c:crosses val="autoZero"/>
        <c:auto val="1"/>
        <c:lblAlgn val="ctr"/>
        <c:lblOffset val="100"/>
        <c:noMultiLvlLbl val="0"/>
      </c:catAx>
      <c:valAx>
        <c:axId val="17216894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9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solidFill>
              </a:rPr>
              <a:t>EPS Growth Trend — FY2021 to FY2025 (₹)</a:t>
            </a:r>
            <a:endParaRPr lang="en-US" b="1">
              <a:solidFill>
                <a:schemeClr val="tx2"/>
              </a:solidFill>
            </a:endParaRPr>
          </a:p>
        </c:rich>
      </c:tx>
      <c:layout>
        <c:manualLayout>
          <c:xMode val="edge"/>
          <c:yMode val="edge"/>
          <c:x val="0.1564722222222222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066426071741033"/>
          <c:y val="0.16245370370370371"/>
          <c:w val="0.83322462817147858"/>
          <c:h val="0.61498432487605714"/>
        </c:manualLayout>
      </c:layout>
      <c:barChart>
        <c:barDir val="col"/>
        <c:grouping val="clustered"/>
        <c:varyColors val="0"/>
        <c:ser>
          <c:idx val="0"/>
          <c:order val="0"/>
          <c:tx>
            <c:strRef>
              <c:f>Ratio_Analysis!$A$30</c:f>
              <c:strCache>
                <c:ptCount val="1"/>
                <c:pt idx="0">
                  <c:v>Earnings Per Share — EPS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layout>
                <c:manualLayout>
                  <c:x val="-0.46885804899387579"/>
                  <c:y val="-8.74464129483814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Ratio_Analysis!$B$3:$F$3</c:f>
              <c:strCache>
                <c:ptCount val="5"/>
                <c:pt idx="0">
                  <c:v>FY2021</c:v>
                </c:pt>
                <c:pt idx="1">
                  <c:v>FY2022</c:v>
                </c:pt>
                <c:pt idx="2">
                  <c:v>FY2023</c:v>
                </c:pt>
                <c:pt idx="3">
                  <c:v>FY2024</c:v>
                </c:pt>
                <c:pt idx="4">
                  <c:v>FY2025</c:v>
                </c:pt>
              </c:strCache>
            </c:strRef>
          </c:cat>
          <c:val>
            <c:numRef>
              <c:f>Ratio_Analysis!$B$30:$F$30</c:f>
              <c:numCache>
                <c:formatCode>0.00</c:formatCode>
                <c:ptCount val="5"/>
                <c:pt idx="0">
                  <c:v>8766.9973777405303</c:v>
                </c:pt>
                <c:pt idx="1">
                  <c:v>10474.433603891666</c:v>
                </c:pt>
                <c:pt idx="2">
                  <c:v>11518.40616545052</c:v>
                </c:pt>
                <c:pt idx="3">
                  <c:v>12688.427627760426</c:v>
                </c:pt>
                <c:pt idx="4">
                  <c:v>13419.474309720572</c:v>
                </c:pt>
              </c:numCache>
            </c:numRef>
          </c:val>
          <c:extLst>
            <c:ext xmlns:c16="http://schemas.microsoft.com/office/drawing/2014/chart" uri="{C3380CC4-5D6E-409C-BE32-E72D297353CC}">
              <c16:uniqueId val="{00000001-58B2-4FDF-9922-9BDF9C3AC7ED}"/>
            </c:ext>
          </c:extLst>
        </c:ser>
        <c:dLbls>
          <c:dLblPos val="outEnd"/>
          <c:showLegendKey val="0"/>
          <c:showVal val="1"/>
          <c:showCatName val="0"/>
          <c:showSerName val="0"/>
          <c:showPercent val="0"/>
          <c:showBubbleSize val="0"/>
        </c:dLbls>
        <c:gapWidth val="219"/>
        <c:overlap val="-27"/>
        <c:axId val="1721690912"/>
        <c:axId val="1721689472"/>
      </c:barChart>
      <c:catAx>
        <c:axId val="17216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89472"/>
        <c:crosses val="autoZero"/>
        <c:auto val="1"/>
        <c:lblAlgn val="ctr"/>
        <c:lblOffset val="100"/>
        <c:noMultiLvlLbl val="0"/>
      </c:catAx>
      <c:valAx>
        <c:axId val="17216894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9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050" b="1">
                <a:solidFill>
                  <a:schemeClr val="tx2"/>
                </a:solidFill>
              </a:rPr>
              <a:t>Cash Flow Breakdown — FY2021 to FY2025</a:t>
            </a:r>
          </a:p>
          <a:p>
            <a:pPr>
              <a:defRPr/>
            </a:pPr>
            <a:r>
              <a:rPr lang="en-IN" sz="1050" b="1">
                <a:solidFill>
                  <a:schemeClr val="tx2"/>
                </a:solidFill>
              </a:rPr>
              <a:t> (₹ Crores)</a:t>
            </a:r>
          </a:p>
        </c:rich>
      </c:tx>
      <c:layout>
        <c:manualLayout>
          <c:xMode val="edge"/>
          <c:yMode val="edge"/>
          <c:x val="0.14266666666666666"/>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4468503937008"/>
          <c:y val="0.18644061244921706"/>
          <c:w val="0.85097440944881886"/>
          <c:h val="0.6714577865266842"/>
        </c:manualLayout>
      </c:layout>
      <c:barChart>
        <c:barDir val="col"/>
        <c:grouping val="clustered"/>
        <c:varyColors val="0"/>
        <c:ser>
          <c:idx val="0"/>
          <c:order val="0"/>
          <c:tx>
            <c:strRef>
              <c:f>Raw_Data!$A$28</c:f>
              <c:strCache>
                <c:ptCount val="1"/>
                <c:pt idx="0">
                  <c:v>Cash from Operations (CFO)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Raw_Data!$B$3:$G$3</c:f>
              <c:strCache>
                <c:ptCount val="6"/>
                <c:pt idx="0">
                  <c:v>FY2021</c:v>
                </c:pt>
                <c:pt idx="1">
                  <c:v>FY2022</c:v>
                </c:pt>
                <c:pt idx="2">
                  <c:v>FY2023</c:v>
                </c:pt>
                <c:pt idx="3">
                  <c:v>FY2024</c:v>
                </c:pt>
                <c:pt idx="4">
                  <c:v>FY2025</c:v>
                </c:pt>
                <c:pt idx="5">
                  <c:v>5-Yr CAGR</c:v>
                </c:pt>
              </c:strCache>
            </c:strRef>
          </c:cat>
          <c:val>
            <c:numRef>
              <c:f>Raw_Data!$B$28:$G$28</c:f>
              <c:numCache>
                <c:formatCode>#,##0</c:formatCode>
                <c:ptCount val="6"/>
                <c:pt idx="0">
                  <c:v>38802</c:v>
                </c:pt>
                <c:pt idx="1">
                  <c:v>39949</c:v>
                </c:pt>
                <c:pt idx="2">
                  <c:v>41965</c:v>
                </c:pt>
                <c:pt idx="3">
                  <c:v>44338</c:v>
                </c:pt>
                <c:pt idx="4">
                  <c:v>48908</c:v>
                </c:pt>
                <c:pt idx="5" formatCode="0.0%">
                  <c:v>5.9574378367559522E-2</c:v>
                </c:pt>
              </c:numCache>
            </c:numRef>
          </c:val>
          <c:extLst>
            <c:ext xmlns:c16="http://schemas.microsoft.com/office/drawing/2014/chart" uri="{C3380CC4-5D6E-409C-BE32-E72D297353CC}">
              <c16:uniqueId val="{00000000-DAE4-4331-9BEC-E1AC74117CC9}"/>
            </c:ext>
          </c:extLst>
        </c:ser>
        <c:ser>
          <c:idx val="1"/>
          <c:order val="1"/>
          <c:tx>
            <c:strRef>
              <c:f>Raw_Data!$A$29</c:f>
              <c:strCache>
                <c:ptCount val="1"/>
                <c:pt idx="0">
                  <c:v>Cash from Investing (CFI)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Raw_Data!$B$3:$G$3</c:f>
              <c:strCache>
                <c:ptCount val="6"/>
                <c:pt idx="0">
                  <c:v>FY2021</c:v>
                </c:pt>
                <c:pt idx="1">
                  <c:v>FY2022</c:v>
                </c:pt>
                <c:pt idx="2">
                  <c:v>FY2023</c:v>
                </c:pt>
                <c:pt idx="3">
                  <c:v>FY2024</c:v>
                </c:pt>
                <c:pt idx="4">
                  <c:v>FY2025</c:v>
                </c:pt>
                <c:pt idx="5">
                  <c:v>5-Yr CAGR</c:v>
                </c:pt>
              </c:strCache>
            </c:strRef>
          </c:cat>
          <c:val>
            <c:numRef>
              <c:f>Raw_Data!$B$29:$G$29</c:f>
              <c:numCache>
                <c:formatCode>#,##0</c:formatCode>
                <c:ptCount val="6"/>
                <c:pt idx="0">
                  <c:v>-7956</c:v>
                </c:pt>
                <c:pt idx="1">
                  <c:v>-738</c:v>
                </c:pt>
                <c:pt idx="2">
                  <c:v>548</c:v>
                </c:pt>
                <c:pt idx="3">
                  <c:v>6091</c:v>
                </c:pt>
                <c:pt idx="4">
                  <c:v>-2144</c:v>
                </c:pt>
                <c:pt idx="5" formatCode="0.0%">
                  <c:v>-0.2795024611540754</c:v>
                </c:pt>
              </c:numCache>
            </c:numRef>
          </c:val>
          <c:extLst>
            <c:ext xmlns:c16="http://schemas.microsoft.com/office/drawing/2014/chart" uri="{C3380CC4-5D6E-409C-BE32-E72D297353CC}">
              <c16:uniqueId val="{00000001-DAE4-4331-9BEC-E1AC74117CC9}"/>
            </c:ext>
          </c:extLst>
        </c:ser>
        <c:ser>
          <c:idx val="2"/>
          <c:order val="2"/>
          <c:tx>
            <c:strRef>
              <c:f>Raw_Data!$A$30</c:f>
              <c:strCache>
                <c:ptCount val="1"/>
                <c:pt idx="0">
                  <c:v>Cash from Financing (CFF)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Raw_Data!$B$3:$G$3</c:f>
              <c:strCache>
                <c:ptCount val="6"/>
                <c:pt idx="0">
                  <c:v>FY2021</c:v>
                </c:pt>
                <c:pt idx="1">
                  <c:v>FY2022</c:v>
                </c:pt>
                <c:pt idx="2">
                  <c:v>FY2023</c:v>
                </c:pt>
                <c:pt idx="3">
                  <c:v>FY2024</c:v>
                </c:pt>
                <c:pt idx="4">
                  <c:v>FY2025</c:v>
                </c:pt>
                <c:pt idx="5">
                  <c:v>5-Yr CAGR</c:v>
                </c:pt>
              </c:strCache>
            </c:strRef>
          </c:cat>
          <c:val>
            <c:numRef>
              <c:f>Raw_Data!$B$30:$G$30</c:f>
              <c:numCache>
                <c:formatCode>#,##0</c:formatCode>
                <c:ptCount val="6"/>
                <c:pt idx="0">
                  <c:v>-32634</c:v>
                </c:pt>
                <c:pt idx="1">
                  <c:v>-33581</c:v>
                </c:pt>
                <c:pt idx="2">
                  <c:v>-47878</c:v>
                </c:pt>
                <c:pt idx="3">
                  <c:v>-48536</c:v>
                </c:pt>
                <c:pt idx="4">
                  <c:v>-47438</c:v>
                </c:pt>
                <c:pt idx="5" formatCode="0.0%">
                  <c:v>9.8029518278432759E-2</c:v>
                </c:pt>
              </c:numCache>
            </c:numRef>
          </c:val>
          <c:extLst>
            <c:ext xmlns:c16="http://schemas.microsoft.com/office/drawing/2014/chart" uri="{C3380CC4-5D6E-409C-BE32-E72D297353CC}">
              <c16:uniqueId val="{00000002-DAE4-4331-9BEC-E1AC74117CC9}"/>
            </c:ext>
          </c:extLst>
        </c:ser>
        <c:dLbls>
          <c:dLblPos val="outEnd"/>
          <c:showLegendKey val="0"/>
          <c:showVal val="1"/>
          <c:showCatName val="0"/>
          <c:showSerName val="0"/>
          <c:showPercent val="0"/>
          <c:showBubbleSize val="0"/>
        </c:dLbls>
        <c:gapWidth val="219"/>
        <c:overlap val="-27"/>
        <c:axId val="1721683712"/>
        <c:axId val="1721708672"/>
      </c:barChart>
      <c:catAx>
        <c:axId val="17216837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21708672"/>
        <c:crosses val="autoZero"/>
        <c:auto val="1"/>
        <c:lblAlgn val="ctr"/>
        <c:lblOffset val="100"/>
        <c:noMultiLvlLbl val="0"/>
      </c:catAx>
      <c:valAx>
        <c:axId val="1721708672"/>
        <c:scaling>
          <c:orientation val="minMax"/>
        </c:scaling>
        <c:delete val="0"/>
        <c:axPos val="l"/>
        <c:numFmt formatCode="#,##0" sourceLinked="1"/>
        <c:majorTickMark val="none"/>
        <c:minorTickMark val="none"/>
        <c:tickLblPos val="low"/>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21683712"/>
        <c:crosses val="autoZero"/>
        <c:crossBetween val="between"/>
      </c:valAx>
      <c:spPr>
        <a:noFill/>
        <a:ln>
          <a:noFill/>
        </a:ln>
        <a:effectLst/>
      </c:spPr>
    </c:plotArea>
    <c:legend>
      <c:legendPos val="b"/>
      <c:layout>
        <c:manualLayout>
          <c:xMode val="edge"/>
          <c:yMode val="edge"/>
          <c:x val="0.05"/>
          <c:y val="0.91715689464436778"/>
          <c:w val="0.9"/>
          <c:h val="8.284299514107129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76206</xdr:colOff>
      <xdr:row>0</xdr:row>
      <xdr:rowOff>243840</xdr:rowOff>
    </xdr:from>
    <xdr:to>
      <xdr:col>15</xdr:col>
      <xdr:colOff>381006</xdr:colOff>
      <xdr:row>13</xdr:row>
      <xdr:rowOff>30480</xdr:rowOff>
    </xdr:to>
    <xdr:graphicFrame macro="">
      <xdr:nvGraphicFramePr>
        <xdr:cNvPr id="2" name="Chart 1">
          <a:extLst>
            <a:ext uri="{FF2B5EF4-FFF2-40B4-BE49-F238E27FC236}">
              <a16:creationId xmlns:a16="http://schemas.microsoft.com/office/drawing/2014/main" id="{67BA5726-ACAB-A97F-57EC-9D6B25876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220986</xdr:colOff>
      <xdr:row>0</xdr:row>
      <xdr:rowOff>106680</xdr:rowOff>
    </xdr:from>
    <xdr:to>
      <xdr:col>15</xdr:col>
      <xdr:colOff>525786</xdr:colOff>
      <xdr:row>10</xdr:row>
      <xdr:rowOff>163830</xdr:rowOff>
    </xdr:to>
    <xdr:graphicFrame macro="">
      <xdr:nvGraphicFramePr>
        <xdr:cNvPr id="2" name="Chart 1">
          <a:extLst>
            <a:ext uri="{FF2B5EF4-FFF2-40B4-BE49-F238E27FC236}">
              <a16:creationId xmlns:a16="http://schemas.microsoft.com/office/drawing/2014/main" id="{9250E78D-00B8-7B6C-7252-10E351B7D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236226</xdr:colOff>
      <xdr:row>11</xdr:row>
      <xdr:rowOff>148590</xdr:rowOff>
    </xdr:from>
    <xdr:to>
      <xdr:col>15</xdr:col>
      <xdr:colOff>541026</xdr:colOff>
      <xdr:row>24</xdr:row>
      <xdr:rowOff>95250</xdr:rowOff>
    </xdr:to>
    <xdr:graphicFrame macro="">
      <xdr:nvGraphicFramePr>
        <xdr:cNvPr id="4" name="Chart 3">
          <a:extLst>
            <a:ext uri="{FF2B5EF4-FFF2-40B4-BE49-F238E27FC236}">
              <a16:creationId xmlns:a16="http://schemas.microsoft.com/office/drawing/2014/main" id="{B0C76D5A-8E25-7C1D-AD00-467281398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342906</xdr:colOff>
      <xdr:row>25</xdr:row>
      <xdr:rowOff>19050</xdr:rowOff>
    </xdr:from>
    <xdr:to>
      <xdr:col>16</xdr:col>
      <xdr:colOff>38106</xdr:colOff>
      <xdr:row>37</xdr:row>
      <xdr:rowOff>186690</xdr:rowOff>
    </xdr:to>
    <xdr:graphicFrame macro="">
      <xdr:nvGraphicFramePr>
        <xdr:cNvPr id="5" name="Chart 4">
          <a:extLst>
            <a:ext uri="{FF2B5EF4-FFF2-40B4-BE49-F238E27FC236}">
              <a16:creationId xmlns:a16="http://schemas.microsoft.com/office/drawing/2014/main" id="{AAE7F4B7-C990-9011-8730-98900DF7D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443698</xdr:colOff>
      <xdr:row>7</xdr:row>
      <xdr:rowOff>144684</xdr:rowOff>
    </xdr:from>
    <xdr:to>
      <xdr:col>13</xdr:col>
      <xdr:colOff>578736</xdr:colOff>
      <xdr:row>20</xdr:row>
      <xdr:rowOff>30866</xdr:rowOff>
    </xdr:to>
    <xdr:graphicFrame macro="">
      <xdr:nvGraphicFramePr>
        <xdr:cNvPr id="4" name="Chart 3">
          <a:extLst>
            <a:ext uri="{FF2B5EF4-FFF2-40B4-BE49-F238E27FC236}">
              <a16:creationId xmlns:a16="http://schemas.microsoft.com/office/drawing/2014/main" id="{F8633CB5-E483-C81F-5523-860624A94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47776</xdr:colOff>
      <xdr:row>25</xdr:row>
      <xdr:rowOff>169817</xdr:rowOff>
    </xdr:from>
    <xdr:to>
      <xdr:col>1</xdr:col>
      <xdr:colOff>995559</xdr:colOff>
      <xdr:row>35</xdr:row>
      <xdr:rowOff>95068</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AE1F121-1C18-1B7D-7D9B-4CB9DB6EFE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776" y="4705531"/>
              <a:ext cx="1818640" cy="1739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290286</xdr:colOff>
      <xdr:row>3</xdr:row>
      <xdr:rowOff>169333</xdr:rowOff>
    </xdr:from>
    <xdr:to>
      <xdr:col>15</xdr:col>
      <xdr:colOff>595085</xdr:colOff>
      <xdr:row>18</xdr:row>
      <xdr:rowOff>159209</xdr:rowOff>
    </xdr:to>
    <xdr:graphicFrame macro="">
      <xdr:nvGraphicFramePr>
        <xdr:cNvPr id="3" name="Chart 2">
          <a:extLst>
            <a:ext uri="{FF2B5EF4-FFF2-40B4-BE49-F238E27FC236}">
              <a16:creationId xmlns:a16="http://schemas.microsoft.com/office/drawing/2014/main" id="{C3836934-9474-43E7-9D8D-50F9CD82F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205619</xdr:colOff>
      <xdr:row>3</xdr:row>
      <xdr:rowOff>84667</xdr:rowOff>
    </xdr:from>
    <xdr:to>
      <xdr:col>23</xdr:col>
      <xdr:colOff>510417</xdr:colOff>
      <xdr:row>16</xdr:row>
      <xdr:rowOff>103718</xdr:rowOff>
    </xdr:to>
    <xdr:graphicFrame macro="">
      <xdr:nvGraphicFramePr>
        <xdr:cNvPr id="4" name="Chart 3">
          <a:extLst>
            <a:ext uri="{FF2B5EF4-FFF2-40B4-BE49-F238E27FC236}">
              <a16:creationId xmlns:a16="http://schemas.microsoft.com/office/drawing/2014/main" id="{A57D9341-ACF9-4B44-8A36-97A2BCC79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459620</xdr:colOff>
      <xdr:row>22</xdr:row>
      <xdr:rowOff>36285</xdr:rowOff>
    </xdr:from>
    <xdr:to>
      <xdr:col>18</xdr:col>
      <xdr:colOff>159658</xdr:colOff>
      <xdr:row>37</xdr:row>
      <xdr:rowOff>36285</xdr:rowOff>
    </xdr:to>
    <xdr:graphicFrame macro="">
      <xdr:nvGraphicFramePr>
        <xdr:cNvPr id="5" name="Chart 4">
          <a:extLst>
            <a:ext uri="{FF2B5EF4-FFF2-40B4-BE49-F238E27FC236}">
              <a16:creationId xmlns:a16="http://schemas.microsoft.com/office/drawing/2014/main" id="{0DCFC54F-9E4A-4B73-8F51-FA8296E21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278190</xdr:colOff>
      <xdr:row>22</xdr:row>
      <xdr:rowOff>12095</xdr:rowOff>
    </xdr:from>
    <xdr:to>
      <xdr:col>27</xdr:col>
      <xdr:colOff>14393</xdr:colOff>
      <xdr:row>37</xdr:row>
      <xdr:rowOff>12096</xdr:rowOff>
    </xdr:to>
    <xdr:graphicFrame macro="">
      <xdr:nvGraphicFramePr>
        <xdr:cNvPr id="6" name="Chart 5">
          <a:extLst>
            <a:ext uri="{FF2B5EF4-FFF2-40B4-BE49-F238E27FC236}">
              <a16:creationId xmlns:a16="http://schemas.microsoft.com/office/drawing/2014/main" id="{5570ED81-19F4-47CB-B881-821D19D7A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57814</xdr:colOff>
      <xdr:row>3</xdr:row>
      <xdr:rowOff>137160</xdr:rowOff>
    </xdr:from>
    <xdr:to>
      <xdr:col>31</xdr:col>
      <xdr:colOff>398780</xdr:colOff>
      <xdr:row>18</xdr:row>
      <xdr:rowOff>160020</xdr:rowOff>
    </xdr:to>
    <xdr:graphicFrame macro="">
      <xdr:nvGraphicFramePr>
        <xdr:cNvPr id="7" name="Chart 6">
          <a:extLst>
            <a:ext uri="{FF2B5EF4-FFF2-40B4-BE49-F238E27FC236}">
              <a16:creationId xmlns:a16="http://schemas.microsoft.com/office/drawing/2014/main" id="{491615D8-667A-43E1-A430-657070264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dwonload\TCS_Financial_Analysis_v2.xlsx" TargetMode="External"/><Relationship Id="rId1" Type="http://schemas.openxmlformats.org/officeDocument/2006/relationships/externalLinkPath" Target="file:///E:\dwonload\TCS_Financial_Analysis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rategic_Insights"/>
      <sheetName val="Risk_Flags"/>
      <sheetName val="Statistical_Analysis"/>
      <sheetName val="Trend_Analysis"/>
      <sheetName val="Ratio_Analysis"/>
      <sheetName val="Raw_Data"/>
      <sheetName val="KPI_Dashboard"/>
    </sheetNames>
    <sheetDataSet>
      <sheetData sheetId="0"/>
      <sheetData sheetId="1"/>
      <sheetData sheetId="2"/>
      <sheetData sheetId="3"/>
      <sheetData sheetId="4"/>
      <sheetData sheetId="5">
        <row r="5">
          <cell r="B5">
            <v>164177</v>
          </cell>
          <cell r="C5">
            <v>191754</v>
          </cell>
          <cell r="D5">
            <v>225458</v>
          </cell>
          <cell r="E5">
            <v>240893</v>
          </cell>
          <cell r="F5">
            <v>255324</v>
          </cell>
        </row>
        <row r="12">
          <cell r="B12">
            <v>32430</v>
          </cell>
          <cell r="C12">
            <v>38327</v>
          </cell>
          <cell r="D12">
            <v>42147</v>
          </cell>
          <cell r="E12">
            <v>45908</v>
          </cell>
          <cell r="F12">
            <v>48553</v>
          </cell>
        </row>
        <row r="18">
          <cell r="B18">
            <v>7795</v>
          </cell>
          <cell r="C18">
            <v>7818</v>
          </cell>
          <cell r="D18">
            <v>7688</v>
          </cell>
          <cell r="E18">
            <v>8021</v>
          </cell>
          <cell r="F18">
            <v>9392</v>
          </cell>
        </row>
        <row r="28">
          <cell r="B28">
            <v>38802</v>
          </cell>
          <cell r="C28">
            <v>39949</v>
          </cell>
          <cell r="D28">
            <v>41965</v>
          </cell>
          <cell r="E28">
            <v>44338</v>
          </cell>
          <cell r="F28">
            <v>48908</v>
          </cell>
        </row>
      </sheetData>
      <sheetData sheetId="6"/>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Users/Prachi%20Agarwal/AppData/Local/Packages/5319275A.WhatsAppDesktop_cv1g1gvanyjgm/LocalState/sessions/AB5C8CD5AE3C285ADA8413AFF53F39E6D9CFF817/transfers/2026-15/TCS_Financial_Analysis_v2%20revised%20wd%20correction%20(2).xlsx?4BB133C6" TargetMode="External"/><Relationship Id="rId2" Type="http://schemas.openxmlformats.org/officeDocument/2006/relationships/externalLinkPath" Target="file:///\\4BB133C6\TCS_Financial_Analysis_v2%20revised%20wd%20correction%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Agarwal" refreshedDate="46125.725346990737" createdVersion="8" refreshedVersion="8" minRefreshableVersion="3" recordCount="30" xr:uid="{B74DC4DE-2195-4D2E-942F-AF73C0F64003}">
  <cacheSource type="worksheet">
    <worksheetSource ref="A1:C31" sheet="Sheet1" r:id="rId2"/>
  </cacheSource>
  <cacheFields count="3">
    <cacheField name="Year" numFmtId="0">
      <sharedItems count="5">
        <s v="FY2021"/>
        <s v="FY2022"/>
        <s v="FY2023"/>
        <s v="FY2024"/>
        <s v="FY2025"/>
      </sharedItems>
    </cacheField>
    <cacheField name="Metric" numFmtId="0">
      <sharedItems count="6">
        <s v="Revenue (Rs Cr)"/>
        <s v="Net Profit (Rs Cr)"/>
        <s v="Net Profit Margin"/>
        <s v="ROE"/>
        <s v="EPS (Rs)"/>
        <s v="DE Ratio"/>
      </sharedItems>
    </cacheField>
    <cacheField name="Value" numFmtId="0">
      <sharedItems containsSemiMixedTypes="0" containsString="0" containsNumber="1" minValue="8.5000000000000006E-2" maxValue="255324"/>
    </cacheField>
  </cacheFields>
  <extLst>
    <ext xmlns:x14="http://schemas.microsoft.com/office/spreadsheetml/2009/9/main" uri="{725AE2AE-9491-48be-B2B4-4EB974FC3084}">
      <x14:pivotCacheDefinition pivotCacheId="457933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164177"/>
  </r>
  <r>
    <x v="1"/>
    <x v="0"/>
    <n v="191754"/>
  </r>
  <r>
    <x v="2"/>
    <x v="0"/>
    <n v="225458"/>
  </r>
  <r>
    <x v="3"/>
    <x v="0"/>
    <n v="240893"/>
  </r>
  <r>
    <x v="4"/>
    <x v="0"/>
    <n v="255324"/>
  </r>
  <r>
    <x v="0"/>
    <x v="1"/>
    <n v="32430"/>
  </r>
  <r>
    <x v="1"/>
    <x v="1"/>
    <n v="38327"/>
  </r>
  <r>
    <x v="2"/>
    <x v="1"/>
    <n v="42147"/>
  </r>
  <r>
    <x v="3"/>
    <x v="1"/>
    <n v="45908"/>
  </r>
  <r>
    <x v="4"/>
    <x v="1"/>
    <n v="48553"/>
  </r>
  <r>
    <x v="0"/>
    <x v="2"/>
    <n v="19.75"/>
  </r>
  <r>
    <x v="1"/>
    <x v="2"/>
    <n v="19.989999999999998"/>
  </r>
  <r>
    <x v="2"/>
    <x v="2"/>
    <n v="18.690000000000001"/>
  </r>
  <r>
    <x v="3"/>
    <x v="2"/>
    <n v="19.059999999999999"/>
  </r>
  <r>
    <x v="4"/>
    <x v="2"/>
    <n v="19.02"/>
  </r>
  <r>
    <x v="0"/>
    <x v="3"/>
    <n v="37.520000000000003"/>
  </r>
  <r>
    <x v="1"/>
    <x v="3"/>
    <n v="42.99"/>
  </r>
  <r>
    <x v="2"/>
    <x v="3"/>
    <n v="46.61"/>
  </r>
  <r>
    <x v="3"/>
    <x v="3"/>
    <n v="50.73"/>
  </r>
  <r>
    <x v="4"/>
    <x v="3"/>
    <n v="51.24"/>
  </r>
  <r>
    <x v="0"/>
    <x v="4"/>
    <n v="87.67"/>
  </r>
  <r>
    <x v="1"/>
    <x v="4"/>
    <n v="104.73"/>
  </r>
  <r>
    <x v="2"/>
    <x v="4"/>
    <n v="115.18"/>
  </r>
  <r>
    <x v="3"/>
    <x v="4"/>
    <n v="126.88"/>
  </r>
  <r>
    <x v="4"/>
    <x v="4"/>
    <n v="134.19"/>
  </r>
  <r>
    <x v="0"/>
    <x v="5"/>
    <n v="0.09"/>
  </r>
  <r>
    <x v="1"/>
    <x v="5"/>
    <n v="8.7999999999999995E-2"/>
  </r>
  <r>
    <x v="2"/>
    <x v="5"/>
    <n v="8.5000000000000006E-2"/>
  </r>
  <r>
    <x v="3"/>
    <x v="5"/>
    <n v="8.8999999999999996E-2"/>
  </r>
  <r>
    <x v="4"/>
    <x v="5"/>
    <n v="9.900000000000000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D59CFD-E449-4BD0-A852-208CCB771C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7:H20" firstHeaderRow="1" firstDataRow="2" firstDataCol="1"/>
  <pivotFields count="3">
    <pivotField axis="axisRow" showAll="0">
      <items count="6">
        <item h="1" x="0"/>
        <item h="1" x="1"/>
        <item h="1" x="2"/>
        <item h="1" x="3"/>
        <item x="4"/>
        <item t="default"/>
      </items>
    </pivotField>
    <pivotField axis="axisCol" showAll="0">
      <items count="7">
        <item x="5"/>
        <item x="4"/>
        <item x="1"/>
        <item x="2"/>
        <item x="0"/>
        <item x="3"/>
        <item t="default"/>
      </items>
    </pivotField>
    <pivotField dataField="1" showAll="0"/>
  </pivotFields>
  <rowFields count="1">
    <field x="0"/>
  </rowFields>
  <rowItems count="2">
    <i>
      <x v="4"/>
    </i>
    <i t="grand">
      <x/>
    </i>
  </rowItems>
  <colFields count="1">
    <field x="1"/>
  </colFields>
  <colItems count="7">
    <i>
      <x/>
    </i>
    <i>
      <x v="1"/>
    </i>
    <i>
      <x v="2"/>
    </i>
    <i>
      <x v="3"/>
    </i>
    <i>
      <x v="4"/>
    </i>
    <i>
      <x v="5"/>
    </i>
    <i t="grand">
      <x/>
    </i>
  </colItems>
  <dataFields count="1">
    <dataField name="Sum of Val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7E88F8-9A5A-4D12-9958-DCAD59EC1D09}" sourceName="Year">
  <pivotTables>
    <pivotTable tabId="9" name="PivotTable3"/>
  </pivotTables>
  <data>
    <tabular pivotCacheId="457933957">
      <items count="5">
        <i x="0"/>
        <i x="1"/>
        <i x="2"/>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C3307F2-D133-4971-BF51-1696C56CA4DA}"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4057"/>
  </sheetPr>
  <dimension ref="A1:G37"/>
  <sheetViews>
    <sheetView showGridLines="0" workbookViewId="0">
      <selection activeCell="A7" sqref="A7"/>
    </sheetView>
  </sheetViews>
  <sheetFormatPr defaultRowHeight="14.4" x14ac:dyDescent="0.3"/>
  <cols>
    <col min="1" max="1" width="33" customWidth="1"/>
    <col min="2" max="6" width="12" customWidth="1"/>
    <col min="7" max="7" width="11" customWidth="1"/>
  </cols>
  <sheetData>
    <row r="1" spans="1:7" ht="30" customHeight="1" x14ac:dyDescent="0.3">
      <c r="A1" s="98" t="s">
        <v>176</v>
      </c>
      <c r="B1" s="99"/>
      <c r="C1" s="99"/>
      <c r="D1" s="99"/>
      <c r="E1" s="99"/>
      <c r="F1" s="99"/>
      <c r="G1" s="99"/>
    </row>
    <row r="2" spans="1:7" ht="16.05" customHeight="1" x14ac:dyDescent="0.3">
      <c r="A2" s="100"/>
      <c r="B2" s="101"/>
      <c r="C2" s="101"/>
      <c r="D2" s="101"/>
      <c r="E2" s="101"/>
      <c r="F2" s="101"/>
      <c r="G2" s="101"/>
    </row>
    <row r="3" spans="1:7" ht="18" customHeight="1" x14ac:dyDescent="0.3">
      <c r="A3" s="2" t="s">
        <v>177</v>
      </c>
      <c r="B3" s="2" t="s">
        <v>31</v>
      </c>
      <c r="C3" s="2" t="s">
        <v>32</v>
      </c>
      <c r="D3" s="2" t="s">
        <v>33</v>
      </c>
      <c r="E3" s="2" t="s">
        <v>34</v>
      </c>
      <c r="F3" s="2" t="s">
        <v>35</v>
      </c>
      <c r="G3" s="2" t="s">
        <v>109</v>
      </c>
    </row>
    <row r="4" spans="1:7" ht="19.95" customHeight="1" x14ac:dyDescent="0.3">
      <c r="A4" s="94" t="s">
        <v>178</v>
      </c>
      <c r="B4" s="95"/>
      <c r="C4" s="95"/>
      <c r="D4" s="95"/>
      <c r="E4" s="95"/>
      <c r="F4" s="95"/>
      <c r="G4" s="95"/>
    </row>
    <row r="5" spans="1:7" ht="16.95" customHeight="1" x14ac:dyDescent="0.3">
      <c r="A5" s="24" t="s">
        <v>110</v>
      </c>
      <c r="B5" s="37">
        <v>164177</v>
      </c>
      <c r="C5" s="37">
        <v>191754</v>
      </c>
      <c r="D5" s="37">
        <v>225458</v>
      </c>
      <c r="E5" s="37">
        <v>240893</v>
      </c>
      <c r="F5" s="37">
        <v>255324</v>
      </c>
      <c r="G5" s="38">
        <f t="shared" ref="G5:G13" si="0">IFERROR((F5/B5)^(1/4)-1,"-")</f>
        <v>0.11672138022895751</v>
      </c>
    </row>
    <row r="6" spans="1:7" ht="16.95" customHeight="1" x14ac:dyDescent="0.3">
      <c r="A6" s="27" t="s">
        <v>179</v>
      </c>
      <c r="B6" s="39">
        <v>118501</v>
      </c>
      <c r="C6" s="39">
        <v>138713</v>
      </c>
      <c r="D6" s="39">
        <v>168551</v>
      </c>
      <c r="E6" s="39">
        <v>178896</v>
      </c>
      <c r="F6" s="39">
        <v>190881</v>
      </c>
      <c r="G6" s="28">
        <f t="shared" si="0"/>
        <v>0.12657516098502186</v>
      </c>
    </row>
    <row r="7" spans="1:7" ht="16.95" customHeight="1" x14ac:dyDescent="0.3">
      <c r="A7" s="24" t="s">
        <v>180</v>
      </c>
      <c r="B7" s="40">
        <v>1916</v>
      </c>
      <c r="C7" s="40">
        <v>4018</v>
      </c>
      <c r="D7" s="40">
        <v>3449</v>
      </c>
      <c r="E7" s="40">
        <v>3464</v>
      </c>
      <c r="F7" s="40">
        <v>3962</v>
      </c>
      <c r="G7" s="25">
        <f t="shared" si="0"/>
        <v>0.19916720157983625</v>
      </c>
    </row>
    <row r="8" spans="1:7" ht="16.95" customHeight="1" x14ac:dyDescent="0.3">
      <c r="A8" s="27" t="s">
        <v>181</v>
      </c>
      <c r="B8" s="39">
        <v>4065</v>
      </c>
      <c r="C8" s="39">
        <v>4604</v>
      </c>
      <c r="D8" s="39">
        <v>5022</v>
      </c>
      <c r="E8" s="39">
        <v>4985</v>
      </c>
      <c r="F8" s="39">
        <v>5242</v>
      </c>
      <c r="G8" s="28">
        <f t="shared" si="0"/>
        <v>6.5636571669374755E-2</v>
      </c>
    </row>
    <row r="9" spans="1:7" ht="16.95" customHeight="1" x14ac:dyDescent="0.3">
      <c r="A9" s="24" t="s">
        <v>182</v>
      </c>
      <c r="B9" s="40">
        <v>637</v>
      </c>
      <c r="C9" s="40">
        <v>784</v>
      </c>
      <c r="D9" s="40">
        <v>779</v>
      </c>
      <c r="E9" s="40">
        <v>778</v>
      </c>
      <c r="F9" s="40">
        <v>796</v>
      </c>
      <c r="G9" s="25">
        <f t="shared" si="0"/>
        <v>5.7288257492329464E-2</v>
      </c>
    </row>
    <row r="10" spans="1:7" ht="16.95" customHeight="1" x14ac:dyDescent="0.3">
      <c r="A10" s="27" t="s">
        <v>183</v>
      </c>
      <c r="B10" s="39">
        <v>43760</v>
      </c>
      <c r="C10" s="39">
        <v>51687</v>
      </c>
      <c r="D10" s="39">
        <v>56907</v>
      </c>
      <c r="E10" s="39">
        <v>61997</v>
      </c>
      <c r="F10" s="39">
        <v>65331</v>
      </c>
      <c r="G10" s="28">
        <f t="shared" si="0"/>
        <v>0.10537718916147165</v>
      </c>
    </row>
    <row r="11" spans="1:7" ht="16.95" customHeight="1" x14ac:dyDescent="0.3">
      <c r="A11" s="24" t="s">
        <v>184</v>
      </c>
      <c r="B11" s="40">
        <v>11198</v>
      </c>
      <c r="C11" s="40">
        <v>13238</v>
      </c>
      <c r="D11" s="40">
        <v>14604</v>
      </c>
      <c r="E11" s="40">
        <v>15898</v>
      </c>
      <c r="F11" s="40">
        <v>16534</v>
      </c>
      <c r="G11" s="25">
        <f t="shared" si="0"/>
        <v>0.1023242651846421</v>
      </c>
    </row>
    <row r="12" spans="1:7" ht="16.95" customHeight="1" x14ac:dyDescent="0.3">
      <c r="A12" s="6" t="s">
        <v>111</v>
      </c>
      <c r="B12" s="37">
        <v>32430</v>
      </c>
      <c r="C12" s="37">
        <v>38327</v>
      </c>
      <c r="D12" s="37">
        <v>42147</v>
      </c>
      <c r="E12" s="37">
        <v>45908</v>
      </c>
      <c r="F12" s="37">
        <v>48553</v>
      </c>
      <c r="G12" s="38">
        <f t="shared" si="0"/>
        <v>0.10615829432560453</v>
      </c>
    </row>
    <row r="13" spans="1:7" ht="16.95" customHeight="1" x14ac:dyDescent="0.3">
      <c r="A13" s="24" t="s">
        <v>185</v>
      </c>
      <c r="B13" s="40">
        <v>14060</v>
      </c>
      <c r="C13" s="40">
        <v>15738</v>
      </c>
      <c r="D13" s="40">
        <v>42090</v>
      </c>
      <c r="E13" s="40">
        <v>26426</v>
      </c>
      <c r="F13" s="40">
        <v>45612</v>
      </c>
      <c r="G13" s="25">
        <f t="shared" si="0"/>
        <v>0.3420646856954157</v>
      </c>
    </row>
    <row r="15" spans="1:7" ht="19.95" customHeight="1" x14ac:dyDescent="0.3">
      <c r="A15" s="94" t="s">
        <v>186</v>
      </c>
      <c r="B15" s="95"/>
      <c r="C15" s="95"/>
      <c r="D15" s="95"/>
      <c r="E15" s="95"/>
      <c r="F15" s="95"/>
      <c r="G15" s="95"/>
    </row>
    <row r="16" spans="1:7" ht="16.95" customHeight="1" x14ac:dyDescent="0.3">
      <c r="A16" s="24" t="s">
        <v>187</v>
      </c>
      <c r="B16" s="40">
        <v>370</v>
      </c>
      <c r="C16" s="40">
        <v>366</v>
      </c>
      <c r="D16" s="40">
        <v>366</v>
      </c>
      <c r="E16" s="40">
        <v>362</v>
      </c>
      <c r="F16" s="40">
        <v>362</v>
      </c>
      <c r="G16" s="25">
        <f t="shared" ref="G16:G25" si="1">IFERROR((F16/B16)^(1/4)-1,"-")</f>
        <v>-5.4497941500659675E-3</v>
      </c>
    </row>
    <row r="17" spans="1:7" ht="16.95" customHeight="1" x14ac:dyDescent="0.3">
      <c r="A17" s="27" t="s">
        <v>188</v>
      </c>
      <c r="B17" s="39">
        <v>86063</v>
      </c>
      <c r="C17" s="39">
        <v>88773</v>
      </c>
      <c r="D17" s="39">
        <v>90058</v>
      </c>
      <c r="E17" s="39">
        <v>90127</v>
      </c>
      <c r="F17" s="39">
        <v>94394</v>
      </c>
      <c r="G17" s="28">
        <f t="shared" si="1"/>
        <v>2.3368340600288473E-2</v>
      </c>
    </row>
    <row r="18" spans="1:7" ht="16.95" customHeight="1" x14ac:dyDescent="0.3">
      <c r="A18" s="24" t="s">
        <v>115</v>
      </c>
      <c r="B18" s="40">
        <v>7795</v>
      </c>
      <c r="C18" s="40">
        <v>7818</v>
      </c>
      <c r="D18" s="40">
        <v>7688</v>
      </c>
      <c r="E18" s="40">
        <v>8021</v>
      </c>
      <c r="F18" s="40">
        <v>9392</v>
      </c>
      <c r="G18" s="25">
        <f t="shared" si="1"/>
        <v>4.7696495205476586E-2</v>
      </c>
    </row>
    <row r="19" spans="1:7" ht="16.95" customHeight="1" x14ac:dyDescent="0.3">
      <c r="A19" s="27" t="s">
        <v>189</v>
      </c>
      <c r="B19" s="39">
        <v>35764</v>
      </c>
      <c r="C19" s="39">
        <v>43967</v>
      </c>
      <c r="D19" s="39">
        <v>44747</v>
      </c>
      <c r="E19" s="39">
        <v>46962</v>
      </c>
      <c r="F19" s="39">
        <v>54501</v>
      </c>
      <c r="G19" s="28">
        <f t="shared" si="1"/>
        <v>0.11106533055992385</v>
      </c>
    </row>
    <row r="20" spans="1:7" ht="16.95" customHeight="1" x14ac:dyDescent="0.3">
      <c r="A20" s="3" t="s">
        <v>113</v>
      </c>
      <c r="B20" s="40">
        <v>129992</v>
      </c>
      <c r="C20" s="40">
        <v>140924</v>
      </c>
      <c r="D20" s="40">
        <v>142859</v>
      </c>
      <c r="E20" s="40">
        <v>145472</v>
      </c>
      <c r="F20" s="40">
        <v>158649</v>
      </c>
      <c r="G20" s="25">
        <f t="shared" si="1"/>
        <v>5.1066461336538582E-2</v>
      </c>
    </row>
    <row r="21" spans="1:7" ht="16.95" customHeight="1" x14ac:dyDescent="0.3">
      <c r="A21" s="27" t="s">
        <v>190</v>
      </c>
      <c r="B21" s="39">
        <v>21021</v>
      </c>
      <c r="C21" s="39">
        <v>21298</v>
      </c>
      <c r="D21" s="39">
        <v>20515</v>
      </c>
      <c r="E21" s="39">
        <v>19604</v>
      </c>
      <c r="F21" s="39">
        <v>23053</v>
      </c>
      <c r="G21" s="28">
        <f t="shared" si="1"/>
        <v>2.3336629248932095E-2</v>
      </c>
    </row>
    <row r="22" spans="1:7" ht="16.95" customHeight="1" x14ac:dyDescent="0.3">
      <c r="A22" s="24" t="s">
        <v>191</v>
      </c>
      <c r="B22" s="40">
        <v>29373</v>
      </c>
      <c r="C22" s="40">
        <v>30485</v>
      </c>
      <c r="D22" s="40">
        <v>37163</v>
      </c>
      <c r="E22" s="40">
        <v>31762</v>
      </c>
      <c r="F22" s="40">
        <v>30964</v>
      </c>
      <c r="G22" s="25">
        <f t="shared" si="1"/>
        <v>1.3274675014420811E-2</v>
      </c>
    </row>
    <row r="23" spans="1:7" ht="16.95" customHeight="1" x14ac:dyDescent="0.3">
      <c r="A23" s="27" t="s">
        <v>192</v>
      </c>
      <c r="B23" s="39">
        <v>78672</v>
      </c>
      <c r="C23" s="39">
        <v>87936</v>
      </c>
      <c r="D23" s="39">
        <v>83947</v>
      </c>
      <c r="E23" s="39">
        <v>92542</v>
      </c>
      <c r="F23" s="39">
        <v>103086</v>
      </c>
      <c r="G23" s="28">
        <f t="shared" si="1"/>
        <v>6.9904155496622433E-2</v>
      </c>
    </row>
    <row r="24" spans="1:7" ht="16.95" customHeight="1" x14ac:dyDescent="0.3">
      <c r="A24" s="24" t="s">
        <v>114</v>
      </c>
      <c r="B24" s="40">
        <v>30079</v>
      </c>
      <c r="C24" s="40">
        <v>41810</v>
      </c>
      <c r="D24" s="40">
        <v>49954</v>
      </c>
      <c r="E24" s="40">
        <v>53577</v>
      </c>
      <c r="F24" s="40">
        <v>59046</v>
      </c>
      <c r="G24" s="25">
        <f t="shared" si="1"/>
        <v>0.18367308396999404</v>
      </c>
    </row>
    <row r="25" spans="1:7" ht="16.95" customHeight="1" x14ac:dyDescent="0.3">
      <c r="A25" s="27" t="s">
        <v>116</v>
      </c>
      <c r="B25" s="39">
        <v>9329</v>
      </c>
      <c r="C25" s="39">
        <v>18221</v>
      </c>
      <c r="D25" s="39">
        <v>11032</v>
      </c>
      <c r="E25" s="39">
        <v>13286</v>
      </c>
      <c r="F25" s="39">
        <v>15463</v>
      </c>
      <c r="G25" s="28">
        <f t="shared" si="1"/>
        <v>0.13465718013911698</v>
      </c>
    </row>
    <row r="27" spans="1:7" ht="19.95" customHeight="1" x14ac:dyDescent="0.3">
      <c r="A27" s="94" t="s">
        <v>193</v>
      </c>
      <c r="B27" s="95"/>
      <c r="C27" s="95"/>
      <c r="D27" s="95"/>
      <c r="E27" s="95"/>
      <c r="F27" s="95"/>
      <c r="G27" s="95"/>
    </row>
    <row r="28" spans="1:7" ht="16.95" customHeight="1" x14ac:dyDescent="0.3">
      <c r="A28" s="3" t="s">
        <v>194</v>
      </c>
      <c r="B28" s="37">
        <v>38802</v>
      </c>
      <c r="C28" s="37">
        <v>39949</v>
      </c>
      <c r="D28" s="37">
        <v>41965</v>
      </c>
      <c r="E28" s="37">
        <v>44338</v>
      </c>
      <c r="F28" s="37">
        <v>48908</v>
      </c>
      <c r="G28" s="38">
        <f>IFERROR((F28/B28)^(1/4)-1,"-")</f>
        <v>5.9574378367559522E-2</v>
      </c>
    </row>
    <row r="29" spans="1:7" ht="16.95" customHeight="1" x14ac:dyDescent="0.3">
      <c r="A29" s="27" t="s">
        <v>195</v>
      </c>
      <c r="B29" s="39">
        <v>-7956</v>
      </c>
      <c r="C29" s="39">
        <v>-738</v>
      </c>
      <c r="D29" s="39">
        <v>548</v>
      </c>
      <c r="E29" s="39">
        <v>6091</v>
      </c>
      <c r="F29" s="39">
        <v>-2144</v>
      </c>
      <c r="G29" s="28">
        <f>IFERROR((F29/B29)^(1/4)-1,"-")</f>
        <v>-0.2795024611540754</v>
      </c>
    </row>
    <row r="30" spans="1:7" ht="16.95" customHeight="1" x14ac:dyDescent="0.3">
      <c r="A30" s="24" t="s">
        <v>196</v>
      </c>
      <c r="B30" s="40">
        <v>-32634</v>
      </c>
      <c r="C30" s="40">
        <v>-33581</v>
      </c>
      <c r="D30" s="40">
        <v>-47878</v>
      </c>
      <c r="E30" s="40">
        <v>-48536</v>
      </c>
      <c r="F30" s="40">
        <v>-47438</v>
      </c>
      <c r="G30" s="25">
        <f>IFERROR((F30/B30)^(1/4)-1,"-")</f>
        <v>9.8029518278432759E-2</v>
      </c>
    </row>
    <row r="31" spans="1:7" ht="16.95" customHeight="1" x14ac:dyDescent="0.3">
      <c r="A31" s="27" t="s">
        <v>197</v>
      </c>
      <c r="B31" s="39">
        <v>-1788</v>
      </c>
      <c r="C31" s="39">
        <v>5630</v>
      </c>
      <c r="D31" s="39">
        <v>-5365</v>
      </c>
      <c r="E31" s="39">
        <v>1893</v>
      </c>
      <c r="F31" s="39">
        <v>-674</v>
      </c>
      <c r="G31" s="28">
        <f>IFERROR((F31/B31)^(1/4)-1,"-")</f>
        <v>-0.21643848814957156</v>
      </c>
    </row>
    <row r="33" spans="1:7" ht="19.95" customHeight="1" x14ac:dyDescent="0.3">
      <c r="A33" s="94" t="s">
        <v>198</v>
      </c>
      <c r="B33" s="95"/>
      <c r="C33" s="95"/>
      <c r="D33" s="95"/>
      <c r="E33" s="95"/>
      <c r="F33" s="95"/>
      <c r="G33" s="95"/>
    </row>
    <row r="34" spans="1:7" ht="16.95" customHeight="1" x14ac:dyDescent="0.3">
      <c r="A34" s="24" t="s">
        <v>199</v>
      </c>
      <c r="B34" s="40">
        <v>3177.85</v>
      </c>
      <c r="C34" s="40">
        <v>3739.95</v>
      </c>
      <c r="D34" s="40">
        <v>3205.9</v>
      </c>
      <c r="E34" s="40">
        <v>3876.3</v>
      </c>
      <c r="F34" s="40">
        <v>3606.15</v>
      </c>
      <c r="G34" s="25">
        <f>IFERROR((F34/B34)^(1/4)-1,"-")</f>
        <v>3.2113832139671894E-2</v>
      </c>
    </row>
    <row r="35" spans="1:7" ht="16.95" customHeight="1" x14ac:dyDescent="0.3">
      <c r="A35" s="41" t="s">
        <v>200</v>
      </c>
      <c r="B35" s="42">
        <v>369.91</v>
      </c>
      <c r="C35" s="42">
        <v>365.91</v>
      </c>
      <c r="D35" s="42">
        <v>365.91</v>
      </c>
      <c r="E35" s="42">
        <v>361.81</v>
      </c>
      <c r="F35" s="42">
        <v>361.81</v>
      </c>
      <c r="G35" s="43">
        <f>IFERROR((F35/B35)^(1/4)-1,"-")</f>
        <v>-5.5198395537601197E-3</v>
      </c>
    </row>
    <row r="37" spans="1:7" x14ac:dyDescent="0.3">
      <c r="A37" s="96"/>
      <c r="B37" s="97"/>
      <c r="C37" s="97"/>
      <c r="D37" s="97"/>
      <c r="E37" s="97"/>
      <c r="F37" s="97"/>
      <c r="G37" s="97"/>
    </row>
  </sheetData>
  <mergeCells count="7">
    <mergeCell ref="A33:G33"/>
    <mergeCell ref="A37:G37"/>
    <mergeCell ref="A1:G1"/>
    <mergeCell ref="A27:G27"/>
    <mergeCell ref="A4:G4"/>
    <mergeCell ref="A2:G2"/>
    <mergeCell ref="A15:G1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A7B60"/>
  </sheetPr>
  <dimension ref="A1:F19"/>
  <sheetViews>
    <sheetView showGridLines="0" workbookViewId="0">
      <selection activeCell="A15" sqref="A15:F15"/>
    </sheetView>
  </sheetViews>
  <sheetFormatPr defaultRowHeight="14.4" x14ac:dyDescent="0.3"/>
  <cols>
    <col min="1" max="1" width="40.33203125" customWidth="1"/>
    <col min="2" max="5" width="14" customWidth="1"/>
    <col min="6" max="6" width="16" customWidth="1"/>
  </cols>
  <sheetData>
    <row r="1" spans="1:6" ht="30" customHeight="1" thickBot="1" x14ac:dyDescent="0.35">
      <c r="A1" s="102" t="s">
        <v>0</v>
      </c>
      <c r="B1" s="102"/>
      <c r="C1" s="102"/>
      <c r="D1" s="102"/>
      <c r="E1" s="102"/>
      <c r="F1" s="102"/>
    </row>
    <row r="2" spans="1:6" ht="16.05" customHeight="1" x14ac:dyDescent="0.3">
      <c r="A2" s="106" t="s">
        <v>1</v>
      </c>
      <c r="B2" s="106"/>
      <c r="C2" s="106"/>
      <c r="D2" s="106"/>
      <c r="E2" s="106"/>
      <c r="F2" s="106"/>
    </row>
    <row r="3" spans="1:6" ht="19.95" customHeight="1" x14ac:dyDescent="0.3">
      <c r="A3" s="107" t="s">
        <v>2</v>
      </c>
      <c r="B3" s="107"/>
      <c r="C3" s="107"/>
      <c r="D3" s="107"/>
      <c r="E3" s="107"/>
      <c r="F3" s="107"/>
    </row>
    <row r="4" spans="1:6" ht="37.950000000000003" customHeight="1" x14ac:dyDescent="0.3">
      <c r="A4" s="1" t="s">
        <v>3</v>
      </c>
      <c r="B4" s="103" t="s">
        <v>4</v>
      </c>
      <c r="C4" s="104"/>
      <c r="D4" s="104"/>
      <c r="E4" s="104"/>
      <c r="F4" s="104"/>
    </row>
    <row r="5" spans="1:6" ht="37.950000000000003" customHeight="1" x14ac:dyDescent="0.3">
      <c r="A5" s="1" t="s">
        <v>5</v>
      </c>
      <c r="B5" s="103" t="s">
        <v>6</v>
      </c>
      <c r="C5" s="104"/>
      <c r="D5" s="104"/>
      <c r="E5" s="104"/>
      <c r="F5" s="104"/>
    </row>
    <row r="6" spans="1:6" ht="37.950000000000003" customHeight="1" x14ac:dyDescent="0.3">
      <c r="A6" s="1" t="s">
        <v>7</v>
      </c>
      <c r="B6" s="103" t="s">
        <v>8</v>
      </c>
      <c r="C6" s="104"/>
      <c r="D6" s="104"/>
      <c r="E6" s="104"/>
      <c r="F6" s="104"/>
    </row>
    <row r="7" spans="1:6" ht="37.950000000000003" customHeight="1" x14ac:dyDescent="0.3">
      <c r="A7" s="1" t="s">
        <v>9</v>
      </c>
      <c r="B7" s="103" t="s">
        <v>10</v>
      </c>
      <c r="C7" s="104"/>
      <c r="D7" s="104"/>
      <c r="E7" s="104"/>
      <c r="F7" s="104"/>
    </row>
    <row r="9" spans="1:6" ht="19.95" customHeight="1" x14ac:dyDescent="0.3">
      <c r="A9" s="105" t="s">
        <v>11</v>
      </c>
      <c r="B9" s="105"/>
      <c r="C9" s="105"/>
      <c r="D9" s="105"/>
      <c r="E9" s="105"/>
      <c r="F9" s="105"/>
    </row>
    <row r="10" spans="1:6" ht="37.950000000000003" customHeight="1" x14ac:dyDescent="0.3">
      <c r="A10" s="52" t="s">
        <v>12</v>
      </c>
      <c r="B10" s="103" t="s">
        <v>13</v>
      </c>
      <c r="C10" s="104"/>
      <c r="D10" s="104"/>
      <c r="E10" s="104"/>
      <c r="F10" s="104"/>
    </row>
    <row r="11" spans="1:6" ht="37.950000000000003" customHeight="1" x14ac:dyDescent="0.3">
      <c r="A11" s="52" t="s">
        <v>14</v>
      </c>
      <c r="B11" s="103" t="s">
        <v>15</v>
      </c>
      <c r="C11" s="104"/>
      <c r="D11" s="104"/>
      <c r="E11" s="104"/>
      <c r="F11" s="104"/>
    </row>
    <row r="12" spans="1:6" ht="37.950000000000003" customHeight="1" x14ac:dyDescent="0.3">
      <c r="A12" s="52" t="s">
        <v>16</v>
      </c>
      <c r="B12" s="103" t="s">
        <v>17</v>
      </c>
      <c r="C12" s="104"/>
      <c r="D12" s="104"/>
      <c r="E12" s="104"/>
      <c r="F12" s="104"/>
    </row>
    <row r="13" spans="1:6" ht="37.950000000000003" customHeight="1" x14ac:dyDescent="0.3">
      <c r="A13" s="52" t="s">
        <v>18</v>
      </c>
      <c r="B13" s="103" t="s">
        <v>19</v>
      </c>
      <c r="C13" s="104"/>
      <c r="D13" s="104"/>
      <c r="E13" s="104"/>
      <c r="F13" s="104"/>
    </row>
    <row r="15" spans="1:6" ht="19.95" customHeight="1" x14ac:dyDescent="0.3">
      <c r="A15" s="108" t="s">
        <v>20</v>
      </c>
      <c r="B15" s="108"/>
      <c r="C15" s="108"/>
      <c r="D15" s="108"/>
      <c r="E15" s="108"/>
      <c r="F15" s="108"/>
    </row>
    <row r="16" spans="1:6" ht="37.950000000000003" customHeight="1" x14ac:dyDescent="0.3">
      <c r="A16" s="1" t="s">
        <v>21</v>
      </c>
      <c r="B16" s="103" t="s">
        <v>22</v>
      </c>
      <c r="C16" s="104"/>
      <c r="D16" s="104"/>
      <c r="E16" s="104"/>
      <c r="F16" s="104"/>
    </row>
    <row r="17" spans="1:6" ht="37.950000000000003" customHeight="1" x14ac:dyDescent="0.3">
      <c r="A17" s="1" t="s">
        <v>23</v>
      </c>
      <c r="B17" s="103" t="s">
        <v>24</v>
      </c>
      <c r="C17" s="104"/>
      <c r="D17" s="104"/>
      <c r="E17" s="104"/>
      <c r="F17" s="104"/>
    </row>
    <row r="18" spans="1:6" ht="37.950000000000003" customHeight="1" x14ac:dyDescent="0.3">
      <c r="A18" s="1" t="s">
        <v>25</v>
      </c>
      <c r="B18" s="103" t="s">
        <v>26</v>
      </c>
      <c r="C18" s="104"/>
      <c r="D18" s="104"/>
      <c r="E18" s="104"/>
      <c r="F18" s="104"/>
    </row>
    <row r="19" spans="1:6" ht="37.950000000000003" customHeight="1" x14ac:dyDescent="0.3">
      <c r="A19" s="1" t="s">
        <v>27</v>
      </c>
      <c r="B19" s="103" t="s">
        <v>28</v>
      </c>
      <c r="C19" s="104"/>
      <c r="D19" s="104"/>
      <c r="E19" s="104"/>
      <c r="F19" s="104"/>
    </row>
  </sheetData>
  <mergeCells count="17">
    <mergeCell ref="B19:F19"/>
    <mergeCell ref="B18:F18"/>
    <mergeCell ref="A3:F3"/>
    <mergeCell ref="B17:F17"/>
    <mergeCell ref="A15:F15"/>
    <mergeCell ref="B13:F13"/>
    <mergeCell ref="B16:F16"/>
    <mergeCell ref="B10:F10"/>
    <mergeCell ref="B12:F12"/>
    <mergeCell ref="A1:F1"/>
    <mergeCell ref="B11:F11"/>
    <mergeCell ref="A9:F9"/>
    <mergeCell ref="B5:F5"/>
    <mergeCell ref="B4:F4"/>
    <mergeCell ref="A2:F2"/>
    <mergeCell ref="B7:F7"/>
    <mergeCell ref="B6:F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B2D3A"/>
  </sheetPr>
  <dimension ref="A1:G19"/>
  <sheetViews>
    <sheetView showGridLines="0" tabSelected="1" topLeftCell="A8" workbookViewId="0">
      <selection activeCell="C8" sqref="C8"/>
    </sheetView>
  </sheetViews>
  <sheetFormatPr defaultRowHeight="14.4" x14ac:dyDescent="0.3"/>
  <cols>
    <col min="1" max="1" width="26" customWidth="1"/>
    <col min="2" max="6" width="11" customWidth="1"/>
    <col min="7" max="7" width="46" customWidth="1"/>
  </cols>
  <sheetData>
    <row r="1" spans="1:7" ht="30" customHeight="1" thickBot="1" x14ac:dyDescent="0.35">
      <c r="A1" s="102" t="s">
        <v>29</v>
      </c>
      <c r="B1" s="102"/>
      <c r="C1" s="102"/>
      <c r="D1" s="102"/>
      <c r="E1" s="102"/>
      <c r="F1" s="102"/>
      <c r="G1" s="102"/>
    </row>
    <row r="2" spans="1:7" ht="16.05" customHeight="1" x14ac:dyDescent="0.3">
      <c r="A2" s="111"/>
      <c r="B2" s="111"/>
      <c r="C2" s="111"/>
      <c r="D2" s="111"/>
      <c r="E2" s="111"/>
      <c r="F2" s="111"/>
      <c r="G2" s="111"/>
    </row>
    <row r="3" spans="1:7" ht="18" customHeight="1" x14ac:dyDescent="0.3">
      <c r="A3" s="2" t="s">
        <v>30</v>
      </c>
      <c r="B3" s="2" t="s">
        <v>31</v>
      </c>
      <c r="C3" s="2" t="s">
        <v>32</v>
      </c>
      <c r="D3" s="2" t="s">
        <v>33</v>
      </c>
      <c r="E3" s="2" t="s">
        <v>34</v>
      </c>
      <c r="F3" s="2" t="s">
        <v>35</v>
      </c>
      <c r="G3" s="2" t="s">
        <v>36</v>
      </c>
    </row>
    <row r="4" spans="1:7" ht="19.95" customHeight="1" x14ac:dyDescent="0.3">
      <c r="A4" s="3" t="s">
        <v>37</v>
      </c>
      <c r="B4" s="4">
        <f>Raw_Data!B18/(Raw_Data!B16+Raw_Data!B17)</f>
        <v>9.0185461571390554E-2</v>
      </c>
      <c r="C4" s="4">
        <f>Raw_Data!C18/(Raw_Data!C16+Raw_Data!C17)</f>
        <v>8.7705718035876554E-2</v>
      </c>
      <c r="D4" s="4">
        <f>Raw_Data!D18/(Raw_Data!D16+Raw_Data!D17)</f>
        <v>8.5021675661328858E-2</v>
      </c>
      <c r="E4" s="4">
        <f>Raw_Data!E18/(Raw_Data!E16+Raw_Data!E17)</f>
        <v>8.8640608250726602E-2</v>
      </c>
      <c r="F4" s="4">
        <f>Raw_Data!F18/(Raw_Data!F16+Raw_Data!F17)</f>
        <v>9.9117733969352861E-2</v>
      </c>
      <c r="G4" s="5" t="s">
        <v>38</v>
      </c>
    </row>
    <row r="5" spans="1:7" ht="19.95" customHeight="1" x14ac:dyDescent="0.3">
      <c r="A5" s="6" t="s">
        <v>39</v>
      </c>
      <c r="B5" s="7">
        <f>IFERROR((Raw_Data!B5-Raw_Data!B6)/Raw_Data!B9,0)</f>
        <v>71.704866562009414</v>
      </c>
      <c r="C5" s="7">
        <f>IFERROR((Raw_Data!C5-Raw_Data!C6)/Raw_Data!C9,0)</f>
        <v>67.654336734693871</v>
      </c>
      <c r="D5" s="7">
        <f>IFERROR((Raw_Data!D5-Raw_Data!D6)/Raw_Data!D9,0)</f>
        <v>73.051347881899872</v>
      </c>
      <c r="E5" s="7">
        <f>IFERROR((Raw_Data!E5-Raw_Data!E6)/Raw_Data!E9,0)</f>
        <v>79.68766066838046</v>
      </c>
      <c r="F5" s="7">
        <f>IFERROR((Raw_Data!F5-Raw_Data!F6)/Raw_Data!F9,0)</f>
        <v>80.958542713567837</v>
      </c>
      <c r="G5" s="8" t="s">
        <v>40</v>
      </c>
    </row>
    <row r="6" spans="1:7" ht="19.95" customHeight="1" x14ac:dyDescent="0.3">
      <c r="A6" s="3" t="s">
        <v>41</v>
      </c>
      <c r="B6" s="9">
        <f>Raw_Data!B12/Raw_Data!B5</f>
        <v>0.19753071380278603</v>
      </c>
      <c r="C6" s="9">
        <f>Raw_Data!C12/Raw_Data!C5</f>
        <v>0.19987588264130082</v>
      </c>
      <c r="D6" s="9">
        <f>Raw_Data!D12/Raw_Data!D5</f>
        <v>0.18693947431450647</v>
      </c>
      <c r="E6" s="9">
        <f>Raw_Data!E12/Raw_Data!E5</f>
        <v>0.19057423835478823</v>
      </c>
      <c r="F6" s="9">
        <f>Raw_Data!F12/Raw_Data!F5</f>
        <v>0.1901623035828986</v>
      </c>
      <c r="G6" s="5" t="s">
        <v>42</v>
      </c>
    </row>
    <row r="7" spans="1:7" ht="19.95" customHeight="1" x14ac:dyDescent="0.3">
      <c r="A7" s="6" t="s">
        <v>43</v>
      </c>
      <c r="B7" s="10">
        <f>IFERROR((Raw_Data!B5-Raw_Data!A5)/Raw_Data!A5,-1)</f>
        <v>-1</v>
      </c>
      <c r="C7" s="10">
        <f>IFERROR((Raw_Data!C5-Raw_Data!B5)/Raw_Data!B5,-1)</f>
        <v>0.16797115308478044</v>
      </c>
      <c r="D7" s="10">
        <f>IFERROR((Raw_Data!D5-Raw_Data!C5)/Raw_Data!C5,-1)</f>
        <v>0.17576686796624844</v>
      </c>
      <c r="E7" s="10">
        <f>IFERROR((Raw_Data!E5-Raw_Data!D5)/Raw_Data!D5,-1)</f>
        <v>6.8460644554639891E-2</v>
      </c>
      <c r="F7" s="10">
        <f>IFERROR((Raw_Data!F5-Raw_Data!E5)/Raw_Data!E5,-1)</f>
        <v>5.9906265437351856E-2</v>
      </c>
      <c r="G7" s="8" t="s">
        <v>44</v>
      </c>
    </row>
    <row r="8" spans="1:7" ht="19.95" customHeight="1" x14ac:dyDescent="0.3">
      <c r="A8" s="3" t="s">
        <v>45</v>
      </c>
      <c r="B8" s="4">
        <f>IFERROR(Raw_Data!B28/Raw_Data!B12,0)</f>
        <v>1.1964847363552267</v>
      </c>
      <c r="C8" s="4">
        <f>IFERROR(Raw_Data!C28/Raw_Data!C12,0)</f>
        <v>1.0423200354841236</v>
      </c>
      <c r="D8" s="4">
        <f>IFERROR(Raw_Data!D28/Raw_Data!D12,0)</f>
        <v>0.99568178043514366</v>
      </c>
      <c r="E8" s="4">
        <f>IFERROR(Raw_Data!E28/Raw_Data!E12,0)</f>
        <v>0.96580116755249634</v>
      </c>
      <c r="F8" s="4">
        <f>IFERROR(Raw_Data!F28/Raw_Data!F12,0)</f>
        <v>1.0073115976355735</v>
      </c>
      <c r="G8" s="5" t="s">
        <v>46</v>
      </c>
    </row>
    <row r="9" spans="1:7" ht="19.95" customHeight="1" x14ac:dyDescent="0.3">
      <c r="A9" s="6" t="s">
        <v>47</v>
      </c>
      <c r="B9" s="11">
        <f>Raw_Data!B24/Raw_Data!B5*365</f>
        <v>66.871943085815914</v>
      </c>
      <c r="C9" s="11">
        <f>Raw_Data!C24/Raw_Data!C5*365</f>
        <v>79.584519749262071</v>
      </c>
      <c r="D9" s="11">
        <f>Raw_Data!D24/Raw_Data!D5*365</f>
        <v>80.871869705222267</v>
      </c>
      <c r="E9" s="11">
        <f>Raw_Data!E24/Raw_Data!E5*365</f>
        <v>81.179631620678066</v>
      </c>
      <c r="F9" s="11">
        <f>Raw_Data!F24/Raw_Data!F5*365</f>
        <v>84.409573718099367</v>
      </c>
      <c r="G9" s="8" t="s">
        <v>48</v>
      </c>
    </row>
    <row r="10" spans="1:7" ht="19.95" customHeight="1" x14ac:dyDescent="0.3">
      <c r="A10" s="3" t="s">
        <v>49</v>
      </c>
      <c r="B10" s="9">
        <f>IFERROR(Raw_Data!B13/Raw_Data!B12,0)</f>
        <v>0.4335491828553808</v>
      </c>
      <c r="C10" s="9">
        <f>IFERROR(Raw_Data!C13/Raw_Data!C12,0)</f>
        <v>0.41062436402536073</v>
      </c>
      <c r="D10" s="9">
        <f>IFERROR(Raw_Data!D13/Raw_Data!D12,0)</f>
        <v>0.99864759057584174</v>
      </c>
      <c r="E10" s="9">
        <f>IFERROR(Raw_Data!E13/Raw_Data!E12,0)</f>
        <v>0.57562951990938394</v>
      </c>
      <c r="F10" s="9">
        <f>IFERROR(Raw_Data!F13/Raw_Data!F12,0)</f>
        <v>0.93942701789796712</v>
      </c>
      <c r="G10" s="5" t="s">
        <v>50</v>
      </c>
    </row>
    <row r="11" spans="1:7" ht="19.95" customHeight="1" x14ac:dyDescent="0.3">
      <c r="A11" s="6" t="s">
        <v>51</v>
      </c>
      <c r="B11" s="10">
        <f>IFERROR((Raw_Data!B18-Raw_Data!A18)/Raw_Data!A18,-1)</f>
        <v>-1</v>
      </c>
      <c r="C11" s="10">
        <f>IFERROR((Raw_Data!C18-Raw_Data!B18)/Raw_Data!B18,-1)</f>
        <v>2.9506093649775498E-3</v>
      </c>
      <c r="D11" s="10">
        <f>IFERROR((Raw_Data!D18-Raw_Data!C18)/Raw_Data!C18,-1)</f>
        <v>-1.66282936812484E-2</v>
      </c>
      <c r="E11" s="10">
        <f>IFERROR((Raw_Data!E18-Raw_Data!D18)/Raw_Data!D18,-1)</f>
        <v>4.3314255983350675E-2</v>
      </c>
      <c r="F11" s="10">
        <f>IFERROR((Raw_Data!F18-Raw_Data!E18)/Raw_Data!E18,-1)</f>
        <v>0.17092631841416281</v>
      </c>
      <c r="G11" s="8" t="s">
        <v>52</v>
      </c>
    </row>
    <row r="14" spans="1:7" ht="19.95" customHeight="1" x14ac:dyDescent="0.3">
      <c r="A14" s="110" t="s">
        <v>53</v>
      </c>
      <c r="B14" s="95"/>
      <c r="C14" s="95"/>
      <c r="D14" s="95"/>
      <c r="E14" s="95"/>
      <c r="F14" s="95"/>
      <c r="G14" s="95"/>
    </row>
    <row r="15" spans="1:7" ht="28.05" customHeight="1" x14ac:dyDescent="0.3">
      <c r="A15" s="12" t="s">
        <v>54</v>
      </c>
      <c r="B15" s="109" t="s">
        <v>55</v>
      </c>
      <c r="C15" s="104"/>
      <c r="D15" s="104"/>
      <c r="E15" s="104"/>
      <c r="F15" s="104"/>
      <c r="G15" s="104"/>
    </row>
    <row r="16" spans="1:7" ht="28.05" customHeight="1" x14ac:dyDescent="0.3">
      <c r="A16" s="12" t="s">
        <v>56</v>
      </c>
      <c r="B16" s="109" t="s">
        <v>57</v>
      </c>
      <c r="C16" s="104"/>
      <c r="D16" s="104"/>
      <c r="E16" s="104"/>
      <c r="F16" s="104"/>
      <c r="G16" s="104"/>
    </row>
    <row r="17" spans="1:7" ht="28.05" customHeight="1" x14ac:dyDescent="0.3">
      <c r="A17" s="12" t="s">
        <v>58</v>
      </c>
      <c r="B17" s="109" t="s">
        <v>59</v>
      </c>
      <c r="C17" s="104"/>
      <c r="D17" s="104"/>
      <c r="E17" s="104"/>
      <c r="F17" s="104"/>
      <c r="G17" s="104"/>
    </row>
    <row r="18" spans="1:7" ht="28.05" customHeight="1" x14ac:dyDescent="0.3">
      <c r="A18" s="12" t="s">
        <v>60</v>
      </c>
      <c r="B18" s="109" t="s">
        <v>61</v>
      </c>
      <c r="C18" s="104"/>
      <c r="D18" s="104"/>
      <c r="E18" s="104"/>
      <c r="F18" s="104"/>
      <c r="G18" s="104"/>
    </row>
    <row r="19" spans="1:7" ht="28.05" customHeight="1" x14ac:dyDescent="0.3">
      <c r="A19" s="12" t="s">
        <v>62</v>
      </c>
      <c r="B19" s="109" t="s">
        <v>63</v>
      </c>
      <c r="C19" s="104"/>
      <c r="D19" s="104"/>
      <c r="E19" s="104"/>
      <c r="F19" s="104"/>
      <c r="G19" s="104"/>
    </row>
  </sheetData>
  <mergeCells count="8">
    <mergeCell ref="B16:G16"/>
    <mergeCell ref="A14:G14"/>
    <mergeCell ref="B19:G19"/>
    <mergeCell ref="A1:G1"/>
    <mergeCell ref="B17:G17"/>
    <mergeCell ref="A2:G2"/>
    <mergeCell ref="B18:G18"/>
    <mergeCell ref="B15:G15"/>
  </mergeCells>
  <conditionalFormatting sqref="B4:F4">
    <cfRule type="colorScale" priority="1">
      <colorScale>
        <cfvo type="min"/>
        <cfvo type="percentile" val="50"/>
        <cfvo type="max"/>
        <color rgb="FFF0E8E8"/>
        <color rgb="FFF6F7F8"/>
        <color rgb="FFE4EFE4"/>
      </colorScale>
    </cfRule>
  </conditionalFormatting>
  <conditionalFormatting sqref="B5:F5">
    <cfRule type="colorScale" priority="2">
      <colorScale>
        <cfvo type="min"/>
        <cfvo type="percentile" val="50"/>
        <cfvo type="max"/>
        <color rgb="FFE4EFE4"/>
        <color rgb="FFF6F7F8"/>
        <color rgb="FFF0E8E8"/>
      </colorScale>
    </cfRule>
  </conditionalFormatting>
  <conditionalFormatting sqref="B6:F6">
    <cfRule type="colorScale" priority="3">
      <colorScale>
        <cfvo type="min"/>
        <cfvo type="percentile" val="50"/>
        <cfvo type="max"/>
        <color rgb="FFE4EFE4"/>
        <color rgb="FFF6F7F8"/>
        <color rgb="FFF0E8E8"/>
      </colorScale>
    </cfRule>
  </conditionalFormatting>
  <conditionalFormatting sqref="B7:F7">
    <cfRule type="colorScale" priority="4">
      <colorScale>
        <cfvo type="min"/>
        <cfvo type="percentile" val="50"/>
        <cfvo type="max"/>
        <color rgb="FFE4EFE4"/>
        <color rgb="FFF6F7F8"/>
        <color rgb="FFF0E8E8"/>
      </colorScale>
    </cfRule>
  </conditionalFormatting>
  <conditionalFormatting sqref="B8:F8">
    <cfRule type="colorScale" priority="5">
      <colorScale>
        <cfvo type="min"/>
        <cfvo type="percentile" val="50"/>
        <cfvo type="max"/>
        <color rgb="FFE4EFE4"/>
        <color rgb="FFF6F7F8"/>
        <color rgb="FFF0E8E8"/>
      </colorScale>
    </cfRule>
  </conditionalFormatting>
  <conditionalFormatting sqref="B9:F9">
    <cfRule type="colorScale" priority="6">
      <colorScale>
        <cfvo type="min"/>
        <cfvo type="percentile" val="50"/>
        <cfvo type="max"/>
        <color rgb="FFF0E8E8"/>
        <color rgb="FFF6F7F8"/>
        <color rgb="FFE4EFE4"/>
      </colorScale>
    </cfRule>
  </conditionalFormatting>
  <conditionalFormatting sqref="B10:F10">
    <cfRule type="colorScale" priority="7">
      <colorScale>
        <cfvo type="min"/>
        <cfvo type="percentile" val="50"/>
        <cfvo type="max"/>
        <color rgb="FFE4EFE4"/>
        <color rgb="FFF6F7F8"/>
        <color rgb="FFF0E8E8"/>
      </colorScale>
    </cfRule>
  </conditionalFormatting>
  <conditionalFormatting sqref="B11:F11">
    <cfRule type="colorScale" priority="8">
      <colorScale>
        <cfvo type="min"/>
        <cfvo type="percentile" val="50"/>
        <cfvo type="max"/>
        <color rgb="FFF0E8E8"/>
        <color rgb="FFF6F7F8"/>
        <color rgb="FFE4EFE4"/>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F7EB-506A-49F2-A308-102C32047EEC}">
  <sheetPr>
    <tabColor rgb="FF9A7D0A"/>
  </sheetPr>
  <dimension ref="A1:J29"/>
  <sheetViews>
    <sheetView showGridLines="0" topLeftCell="A14" workbookViewId="0">
      <selection activeCell="F15" sqref="F15"/>
    </sheetView>
  </sheetViews>
  <sheetFormatPr defaultRowHeight="14.4" x14ac:dyDescent="0.3"/>
  <cols>
    <col min="1" max="1" width="26.88671875" style="53" customWidth="1"/>
    <col min="2" max="4" width="14" style="53" customWidth="1"/>
    <col min="5" max="6" width="20" style="53" customWidth="1"/>
    <col min="7" max="7" width="22" style="53" customWidth="1"/>
    <col min="8" max="8" width="28.88671875" style="53" customWidth="1"/>
    <col min="9" max="9" width="8.88671875" style="53"/>
    <col min="10" max="10" width="1.5546875" style="53" bestFit="1" customWidth="1"/>
    <col min="11" max="16384" width="8.88671875" style="53"/>
  </cols>
  <sheetData>
    <row r="1" spans="1:10" ht="30" customHeight="1" x14ac:dyDescent="0.3">
      <c r="A1" s="116" t="s">
        <v>64</v>
      </c>
      <c r="B1" s="117"/>
      <c r="C1" s="117"/>
      <c r="D1" s="117"/>
      <c r="E1" s="117"/>
      <c r="J1" s="54">
        <v>1</v>
      </c>
    </row>
    <row r="2" spans="1:10" x14ac:dyDescent="0.3">
      <c r="A2" s="86"/>
      <c r="J2" s="54">
        <v>2</v>
      </c>
    </row>
    <row r="3" spans="1:10" x14ac:dyDescent="0.3">
      <c r="A3" s="90"/>
      <c r="J3" s="54">
        <v>3</v>
      </c>
    </row>
    <row r="4" spans="1:10" ht="19.95" customHeight="1" x14ac:dyDescent="0.3">
      <c r="A4" s="118" t="s">
        <v>65</v>
      </c>
      <c r="B4" s="119"/>
      <c r="C4" s="119"/>
      <c r="D4" s="119"/>
      <c r="E4" s="119"/>
      <c r="J4" s="54">
        <v>4</v>
      </c>
    </row>
    <row r="5" spans="1:10" ht="18" customHeight="1" x14ac:dyDescent="0.3">
      <c r="A5" s="55" t="s">
        <v>66</v>
      </c>
      <c r="B5" s="55" t="s">
        <v>67</v>
      </c>
      <c r="C5" s="55" t="s">
        <v>68</v>
      </c>
      <c r="D5" s="55" t="s">
        <v>69</v>
      </c>
      <c r="E5" s="55" t="s">
        <v>70</v>
      </c>
      <c r="F5" s="56"/>
      <c r="G5" s="56"/>
      <c r="J5" s="54">
        <v>5</v>
      </c>
    </row>
    <row r="6" spans="1:10" ht="16.95" customHeight="1" x14ac:dyDescent="0.3">
      <c r="A6" s="57" t="s">
        <v>67</v>
      </c>
      <c r="B6" s="58">
        <f>1</f>
        <v>1</v>
      </c>
      <c r="C6" s="59">
        <f>CORREL([1]Raw_Data!$B$5:$F$5,[1]Raw_Data!$B$12:$F$12)</f>
        <v>0.99367220989487526</v>
      </c>
      <c r="D6" s="59">
        <f>CORREL([1]Raw_Data!$B$5:$F$5,[1]Raw_Data!$B$28:$F$28)</f>
        <v>0.91598832991366197</v>
      </c>
      <c r="E6" s="59">
        <f>CORREL([1]Raw_Data!$B$5:$F$5,[1]Raw_Data!$B$18:$F$18)</f>
        <v>0.64237837130849118</v>
      </c>
      <c r="F6" s="56"/>
      <c r="G6" s="56"/>
    </row>
    <row r="7" spans="1:10" ht="16.95" customHeight="1" x14ac:dyDescent="0.3">
      <c r="A7" s="57" t="s">
        <v>68</v>
      </c>
      <c r="B7" s="60">
        <f>CORREL([1]Raw_Data!$B$12:$F$12,[1]Raw_Data!$B$5:$F$5)</f>
        <v>0.99367220989487526</v>
      </c>
      <c r="C7" s="61">
        <f>1</f>
        <v>1</v>
      </c>
      <c r="D7" s="60">
        <f>CORREL([1]Raw_Data!$B$12:$F$12,[1]Raw_Data!$B$28:$F$28)</f>
        <v>0.92605379876051375</v>
      </c>
      <c r="E7" s="60">
        <f>CORREL([1]Raw_Data!$B$12:$F$12,[1]Raw_Data!$B$18:$F$18)</f>
        <v>0.67451612385615001</v>
      </c>
      <c r="F7" s="56"/>
      <c r="G7" s="56"/>
    </row>
    <row r="8" spans="1:10" ht="16.95" customHeight="1" x14ac:dyDescent="0.3">
      <c r="A8" s="57" t="s">
        <v>69</v>
      </c>
      <c r="B8" s="59">
        <f>CORREL([1]Raw_Data!$B$28:$F$28,[1]Raw_Data!$B$5:$F$5)</f>
        <v>0.91598832991366197</v>
      </c>
      <c r="C8" s="59">
        <f>CORREL([1]Raw_Data!$B$28:$F$28,[1]Raw_Data!$B$12:$F$12)</f>
        <v>0.92605379876051375</v>
      </c>
      <c r="D8" s="58">
        <f>1</f>
        <v>1</v>
      </c>
      <c r="E8" s="59">
        <f>CORREL([1]Raw_Data!$B$28:$F$28,[1]Raw_Data!$B$18:$F$18)</f>
        <v>0.89089465831263992</v>
      </c>
      <c r="F8" s="56"/>
      <c r="G8" s="56"/>
    </row>
    <row r="9" spans="1:10" ht="16.95" customHeight="1" x14ac:dyDescent="0.3">
      <c r="A9" s="57" t="s">
        <v>70</v>
      </c>
      <c r="B9" s="60">
        <f>CORREL([1]Raw_Data!$B$18:$F$18,[1]Raw_Data!$B$5:$F$5)</f>
        <v>0.64237837130849118</v>
      </c>
      <c r="C9" s="60">
        <f>CORREL([1]Raw_Data!$B$18:$F$18,[1]Raw_Data!$B$12:$F$12)</f>
        <v>0.67451612385615001</v>
      </c>
      <c r="D9" s="60">
        <f>CORREL([1]Raw_Data!$B$18:$F$18,[1]Raw_Data!$B$28:$F$28)</f>
        <v>0.89089465831263992</v>
      </c>
      <c r="E9" s="61">
        <f>1</f>
        <v>1</v>
      </c>
      <c r="F9" s="56"/>
      <c r="G9" s="56"/>
    </row>
    <row r="10" spans="1:10" ht="7.95" customHeight="1" x14ac:dyDescent="0.3">
      <c r="A10" s="115"/>
      <c r="B10" s="113"/>
      <c r="C10" s="113"/>
      <c r="D10" s="113"/>
      <c r="E10" s="113"/>
      <c r="F10" s="113"/>
      <c r="G10" s="113"/>
      <c r="H10" s="113"/>
    </row>
    <row r="11" spans="1:10" ht="19.95" customHeight="1" x14ac:dyDescent="0.3"/>
    <row r="12" spans="1:10" ht="15" customHeight="1" x14ac:dyDescent="0.3">
      <c r="A12" s="118" t="s">
        <v>71</v>
      </c>
      <c r="B12" s="119"/>
      <c r="C12" s="119"/>
      <c r="D12" s="119"/>
      <c r="E12" s="119"/>
      <c r="F12" s="119"/>
      <c r="G12" s="119"/>
    </row>
    <row r="13" spans="1:10" ht="18" customHeight="1" x14ac:dyDescent="0.3">
      <c r="A13" s="62" t="s">
        <v>66</v>
      </c>
      <c r="B13" s="62" t="s">
        <v>72</v>
      </c>
      <c r="C13" s="62" t="s">
        <v>73</v>
      </c>
      <c r="D13" s="62" t="s">
        <v>74</v>
      </c>
      <c r="E13" s="62" t="s">
        <v>75</v>
      </c>
      <c r="F13" s="62" t="s">
        <v>76</v>
      </c>
      <c r="G13" s="62" t="s">
        <v>77</v>
      </c>
    </row>
    <row r="14" spans="1:10" ht="19.95" customHeight="1" x14ac:dyDescent="0.3">
      <c r="A14" s="63" t="s">
        <v>78</v>
      </c>
      <c r="B14" s="64">
        <f>SLOPE([1]Raw_Data!$B$5:$F$5,'Statistical_Analysis '!$J$1:$J$5)</f>
        <v>23143.3</v>
      </c>
      <c r="C14" s="64">
        <f>INTERCEPT([1]Raw_Data!$B$5:$F$5,'Statistical_Analysis '!$J$1:$J$5)</f>
        <v>146091.30000000002</v>
      </c>
      <c r="D14" s="65">
        <f>RSQ([1]Raw_Data!$B$5:$F$5,'Statistical_Analysis '!$J$1:$J$5)</f>
        <v>0.9689364188091697</v>
      </c>
      <c r="E14" s="66">
        <f>B14*6+C14</f>
        <v>284951.09999999998</v>
      </c>
      <c r="F14" s="66">
        <f>B14*7+C14</f>
        <v>308094.40000000002</v>
      </c>
      <c r="G14" s="67" t="s">
        <v>79</v>
      </c>
    </row>
    <row r="15" spans="1:10" ht="36" x14ac:dyDescent="0.3">
      <c r="A15" s="68" t="s">
        <v>80</v>
      </c>
      <c r="B15" s="69">
        <f>SLOPE([1]Raw_Data!$B$12:$F$12,'Statistical_Analysis '!$J$1:$J$5)</f>
        <v>3982.7</v>
      </c>
      <c r="C15" s="69">
        <f>INTERCEPT([1]Raw_Data!$B$12:$F$12,'Statistical_Analysis '!$J$1:$J$5)</f>
        <v>29524.9</v>
      </c>
      <c r="D15" s="70">
        <f>RSQ([1]Raw_Data!$B$12:$F$12,'Statistical_Analysis '!$J$1:$J$5)</f>
        <v>0.97959479658074156</v>
      </c>
      <c r="E15" s="66">
        <f>B15*6+C15</f>
        <v>53421.1</v>
      </c>
      <c r="F15" s="66">
        <f>B15*7+C15</f>
        <v>57403.8</v>
      </c>
      <c r="G15" s="71" t="s">
        <v>81</v>
      </c>
    </row>
    <row r="16" spans="1:10" x14ac:dyDescent="0.3">
      <c r="A16" s="115"/>
      <c r="B16" s="113"/>
      <c r="C16" s="113"/>
      <c r="D16" s="113"/>
      <c r="E16" s="113"/>
      <c r="F16" s="113"/>
      <c r="G16" s="113"/>
      <c r="H16" s="113"/>
    </row>
    <row r="17" spans="1:8" ht="19.95" customHeight="1" x14ac:dyDescent="0.3">
      <c r="A17" s="120" t="s">
        <v>82</v>
      </c>
      <c r="B17" s="121"/>
      <c r="C17" s="121"/>
      <c r="D17" s="121"/>
      <c r="E17" s="121"/>
      <c r="F17" s="121"/>
      <c r="G17" s="121"/>
    </row>
    <row r="18" spans="1:8" ht="18" customHeight="1" x14ac:dyDescent="0.3">
      <c r="A18" s="62" t="s">
        <v>66</v>
      </c>
      <c r="B18" s="62" t="s">
        <v>72</v>
      </c>
      <c r="C18" s="62" t="s">
        <v>73</v>
      </c>
      <c r="D18" s="62" t="s">
        <v>83</v>
      </c>
      <c r="E18" s="62" t="s">
        <v>75</v>
      </c>
      <c r="F18" s="62" t="s">
        <v>76</v>
      </c>
      <c r="G18" s="62" t="s">
        <v>84</v>
      </c>
    </row>
    <row r="19" spans="1:8" ht="22.05" customHeight="1" x14ac:dyDescent="0.3">
      <c r="A19" s="63" t="s">
        <v>78</v>
      </c>
      <c r="B19" s="64">
        <f t="shared" ref="B19:F20" si="0">B14</f>
        <v>23143.3</v>
      </c>
      <c r="C19" s="64">
        <f t="shared" si="0"/>
        <v>146091.30000000002</v>
      </c>
      <c r="D19" s="65">
        <f t="shared" si="0"/>
        <v>0.9689364188091697</v>
      </c>
      <c r="E19" s="72">
        <f t="shared" si="0"/>
        <v>284951.09999999998</v>
      </c>
      <c r="F19" s="72">
        <f t="shared" si="0"/>
        <v>308094.40000000002</v>
      </c>
      <c r="G19" s="73" t="str">
        <f>CONCATENATE(TEXT((E14-[1]Raw_Data!$F$5)/[1]Raw_Data!$F$5*100,"0.0"),"% (FY26)  |  ",TEXT((F14-E14)/E14*100,"0.0"),"% (FY27)")</f>
        <v>11.6% (FY26)  |  8.1% (FY27)</v>
      </c>
    </row>
    <row r="20" spans="1:8" ht="22.05" customHeight="1" x14ac:dyDescent="0.3">
      <c r="A20" s="89" t="s">
        <v>80</v>
      </c>
      <c r="B20" s="69">
        <f t="shared" si="0"/>
        <v>3982.7</v>
      </c>
      <c r="C20" s="69">
        <f t="shared" si="0"/>
        <v>29524.9</v>
      </c>
      <c r="D20" s="70">
        <f t="shared" si="0"/>
        <v>0.97959479658074156</v>
      </c>
      <c r="E20" s="72">
        <f t="shared" si="0"/>
        <v>53421.1</v>
      </c>
      <c r="F20" s="72">
        <f t="shared" si="0"/>
        <v>57403.8</v>
      </c>
      <c r="G20" s="74" t="str">
        <f>CONCATENATE(TEXT((E15-[1]Raw_Data!$F$12)/[1]Raw_Data!$F$12*100,"0.0"),"% (FY26)  |  ",TEXT((F15-E15)/E15*100,"0.0"),"% (FY27)")</f>
        <v>10.0% (FY26)  |  7.5% (FY27)</v>
      </c>
    </row>
    <row r="21" spans="1:8" ht="28.05" customHeight="1" x14ac:dyDescent="0.3">
      <c r="A21" s="86"/>
      <c r="B21" s="85"/>
      <c r="C21" s="85"/>
      <c r="D21" s="85"/>
      <c r="E21" s="85"/>
      <c r="F21" s="85"/>
      <c r="G21" s="85"/>
      <c r="H21" s="85"/>
    </row>
    <row r="22" spans="1:8" x14ac:dyDescent="0.3">
      <c r="A22" s="112"/>
      <c r="B22" s="113"/>
      <c r="C22" s="113"/>
      <c r="D22" s="113"/>
      <c r="E22" s="113"/>
      <c r="F22" s="113"/>
      <c r="G22" s="113"/>
      <c r="H22" s="113"/>
    </row>
    <row r="23" spans="1:8" ht="19.95" customHeight="1" x14ac:dyDescent="0.3">
      <c r="A23" s="114" t="s">
        <v>85</v>
      </c>
      <c r="B23" s="113"/>
      <c r="C23" s="113"/>
      <c r="D23" s="113"/>
      <c r="E23" s="113"/>
      <c r="F23" s="113"/>
      <c r="G23" s="113"/>
      <c r="H23" s="113"/>
    </row>
    <row r="24" spans="1:8" ht="22.05" customHeight="1" x14ac:dyDescent="0.3">
      <c r="A24" s="62" t="s">
        <v>86</v>
      </c>
      <c r="B24" s="62" t="s">
        <v>31</v>
      </c>
      <c r="C24" s="62" t="s">
        <v>32</v>
      </c>
      <c r="D24" s="62" t="s">
        <v>87</v>
      </c>
      <c r="E24" s="62" t="s">
        <v>88</v>
      </c>
      <c r="F24" s="62" t="s">
        <v>89</v>
      </c>
      <c r="G24" s="62" t="s">
        <v>90</v>
      </c>
      <c r="H24" s="62" t="s">
        <v>91</v>
      </c>
    </row>
    <row r="25" spans="1:8" ht="18" customHeight="1" x14ac:dyDescent="0.3">
      <c r="A25" s="63" t="s">
        <v>92</v>
      </c>
      <c r="B25" s="75" t="s">
        <v>93</v>
      </c>
      <c r="C25" s="75" t="s">
        <v>93</v>
      </c>
      <c r="D25" s="66" t="e">
        <f>AVERAGE([1]Raw_Data!$B$5:'[1]Raw_Data'!$D$5)</f>
        <v>#REF!</v>
      </c>
      <c r="E25" s="66" t="e">
        <f>AVERAGE([1]Raw_Data!$C$5:'[1]Raw_Data'!$E$5)</f>
        <v>#REF!</v>
      </c>
      <c r="F25" s="66" t="e">
        <f>AVERAGE([1]Raw_Data!$D$5:'[1]Raw_Data'!$F$5)</f>
        <v>#REF!</v>
      </c>
      <c r="G25" s="76" t="s">
        <v>94</v>
      </c>
      <c r="H25" s="77" t="s">
        <v>95</v>
      </c>
    </row>
    <row r="26" spans="1:8" ht="19.95" customHeight="1" x14ac:dyDescent="0.3">
      <c r="A26" s="68" t="s">
        <v>96</v>
      </c>
      <c r="B26" s="78" t="s">
        <v>93</v>
      </c>
      <c r="C26" s="78" t="s">
        <v>93</v>
      </c>
      <c r="D26" s="66" t="e">
        <f>AVERAGE([1]Raw_Data!$B$12:'[1]Raw_Data'!$D$12)</f>
        <v>#REF!</v>
      </c>
      <c r="E26" s="66" t="e">
        <f>AVERAGE([1]Raw_Data!$C$12:'[1]Raw_Data'!$E$12)</f>
        <v>#REF!</v>
      </c>
      <c r="F26" s="66" t="e">
        <f>AVERAGE([1]Raw_Data!$D$12:'[1]Raw_Data'!$F$12)</f>
        <v>#REF!</v>
      </c>
      <c r="G26" s="79" t="s">
        <v>94</v>
      </c>
      <c r="H26" s="80" t="s">
        <v>97</v>
      </c>
    </row>
    <row r="28" spans="1:8" x14ac:dyDescent="0.3">
      <c r="A28" s="87"/>
      <c r="C28" s="83"/>
      <c r="D28" s="83"/>
      <c r="E28" s="83"/>
      <c r="F28" s="83"/>
      <c r="G28" s="83"/>
      <c r="H28" s="83"/>
    </row>
    <row r="29" spans="1:8" x14ac:dyDescent="0.3">
      <c r="A29" s="88"/>
      <c r="B29" s="84"/>
      <c r="C29" s="84"/>
      <c r="D29" s="84"/>
      <c r="E29" s="84"/>
      <c r="F29" s="84"/>
      <c r="G29" s="84"/>
      <c r="H29" s="84"/>
    </row>
  </sheetData>
  <mergeCells count="8">
    <mergeCell ref="A22:H22"/>
    <mergeCell ref="A23:H23"/>
    <mergeCell ref="A10:H10"/>
    <mergeCell ref="A1:E1"/>
    <mergeCell ref="A4:E4"/>
    <mergeCell ref="A17:G17"/>
    <mergeCell ref="A12:G12"/>
    <mergeCell ref="A16:H16"/>
  </mergeCells>
  <phoneticPr fontId="33" type="noConversion"/>
  <conditionalFormatting sqref="B5:E8">
    <cfRule type="colorScale" priority="1">
      <colorScale>
        <cfvo type="num" val="0"/>
        <cfvo type="num" val="0.5"/>
        <cfvo type="num" val="1"/>
        <color rgb="FFF0E8E8"/>
        <color rgb="FFF6F7F8"/>
        <color rgb="FFE4EFE4"/>
      </colorScale>
    </cfRule>
  </conditionalFormatting>
  <conditionalFormatting sqref="B6:E9">
    <cfRule type="colorScale" priority="2">
      <colorScale>
        <cfvo type="num" val="0"/>
        <cfvo type="num" val="0.5"/>
        <cfvo type="num" val="1"/>
        <color rgb="FFF0E8E8"/>
        <color rgb="FFF6F7F8"/>
        <color rgb="FFE4EFE4"/>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B7F8E"/>
  </sheetPr>
  <dimension ref="A1:K15"/>
  <sheetViews>
    <sheetView showGridLines="0" workbookViewId="0">
      <selection activeCell="J15" sqref="J15"/>
    </sheetView>
  </sheetViews>
  <sheetFormatPr defaultRowHeight="14.4" x14ac:dyDescent="0.3"/>
  <cols>
    <col min="1" max="1" width="19.109375" customWidth="1"/>
    <col min="2" max="2" width="12" customWidth="1"/>
    <col min="3" max="3" width="11" customWidth="1"/>
    <col min="4" max="4" width="10" customWidth="1"/>
    <col min="5" max="5" width="11" customWidth="1"/>
    <col min="6" max="6" width="10" customWidth="1"/>
    <col min="7" max="7" width="11" customWidth="1"/>
    <col min="8" max="8" width="10" customWidth="1"/>
    <col min="9" max="9" width="11" customWidth="1"/>
    <col min="10" max="11" width="10" customWidth="1"/>
  </cols>
  <sheetData>
    <row r="1" spans="1:11" ht="30" customHeight="1" thickBot="1" x14ac:dyDescent="0.35">
      <c r="A1" s="102" t="s">
        <v>98</v>
      </c>
      <c r="B1" s="102"/>
      <c r="C1" s="102"/>
      <c r="D1" s="102"/>
      <c r="E1" s="102"/>
      <c r="F1" s="102"/>
      <c r="G1" s="102"/>
      <c r="H1" s="102"/>
      <c r="I1" s="102"/>
      <c r="J1" s="102"/>
      <c r="K1" s="102"/>
    </row>
    <row r="2" spans="1:11" ht="16.05" customHeight="1" x14ac:dyDescent="0.3">
      <c r="A2" s="100" t="s">
        <v>99</v>
      </c>
      <c r="B2" s="101"/>
      <c r="C2" s="101"/>
      <c r="D2" s="101"/>
      <c r="E2" s="101"/>
      <c r="F2" s="101"/>
      <c r="G2" s="101"/>
      <c r="H2" s="101"/>
      <c r="I2" s="101"/>
      <c r="J2" s="101"/>
      <c r="K2" s="101"/>
    </row>
    <row r="3" spans="1:11" ht="18" customHeight="1" x14ac:dyDescent="0.3">
      <c r="A3" s="2" t="s">
        <v>86</v>
      </c>
      <c r="B3" s="2" t="s">
        <v>100</v>
      </c>
      <c r="C3" s="2" t="s">
        <v>101</v>
      </c>
      <c r="D3" s="2" t="s">
        <v>102</v>
      </c>
      <c r="E3" s="2" t="s">
        <v>103</v>
      </c>
      <c r="F3" s="2" t="s">
        <v>104</v>
      </c>
      <c r="G3" s="2" t="s">
        <v>105</v>
      </c>
      <c r="H3" s="2" t="s">
        <v>106</v>
      </c>
      <c r="I3" s="2" t="s">
        <v>107</v>
      </c>
      <c r="J3" s="2" t="s">
        <v>108</v>
      </c>
      <c r="K3" s="2" t="s">
        <v>109</v>
      </c>
    </row>
    <row r="4" spans="1:11" ht="16.95" customHeight="1" x14ac:dyDescent="0.3">
      <c r="A4" s="81" t="s">
        <v>110</v>
      </c>
      <c r="B4" s="15">
        <f>Raw_Data!B5</f>
        <v>164177</v>
      </c>
      <c r="C4" s="15">
        <f>Raw_Data!C5-Raw_Data!B5</f>
        <v>27577</v>
      </c>
      <c r="D4" s="20">
        <f>IFERROR((Raw_Data!C5-Raw_Data!B5)/Raw_Data!B5,"-")</f>
        <v>0.16797115308478044</v>
      </c>
      <c r="E4" s="15">
        <f>Raw_Data!D5-Raw_Data!C5</f>
        <v>33704</v>
      </c>
      <c r="F4" s="20">
        <f>IFERROR((Raw_Data!D5-Raw_Data!C5)/Raw_Data!C5,"-")</f>
        <v>0.17576686796624844</v>
      </c>
      <c r="G4" s="15">
        <f>Raw_Data!E5-Raw_Data!D5</f>
        <v>15435</v>
      </c>
      <c r="H4" s="20">
        <f>IFERROR((Raw_Data!E5-Raw_Data!D5)/Raw_Data!D5,"-")</f>
        <v>6.8460644554639891E-2</v>
      </c>
      <c r="I4" s="15">
        <f>Raw_Data!F5-Raw_Data!E5</f>
        <v>14431</v>
      </c>
      <c r="J4" s="20">
        <f>IFERROR((Raw_Data!F5-Raw_Data!E5)/Raw_Data!E5,"-")</f>
        <v>5.9906265437351856E-2</v>
      </c>
      <c r="K4" s="21">
        <f>IFERROR((Raw_Data!F5/Raw_Data!B5)^(1/4)-1,"-")</f>
        <v>0.11672138022895751</v>
      </c>
    </row>
    <row r="5" spans="1:11" ht="16.95" customHeight="1" x14ac:dyDescent="0.3">
      <c r="A5" s="82" t="s">
        <v>111</v>
      </c>
      <c r="B5" s="17">
        <f>Raw_Data!B12</f>
        <v>32430</v>
      </c>
      <c r="C5" s="17">
        <f>Raw_Data!C12-Raw_Data!B12</f>
        <v>5897</v>
      </c>
      <c r="D5" s="22">
        <f>IFERROR((Raw_Data!C12-Raw_Data!B12)/Raw_Data!B12,"-")</f>
        <v>0.18183780450200432</v>
      </c>
      <c r="E5" s="17">
        <f>Raw_Data!D12-Raw_Data!C12</f>
        <v>3820</v>
      </c>
      <c r="F5" s="22">
        <f>IFERROR((Raw_Data!D12-Raw_Data!C12)/Raw_Data!C12,"-")</f>
        <v>9.9668640905888797E-2</v>
      </c>
      <c r="G5" s="17">
        <f>Raw_Data!E12-Raw_Data!D12</f>
        <v>3761</v>
      </c>
      <c r="H5" s="22">
        <f>IFERROR((Raw_Data!E12-Raw_Data!D12)/Raw_Data!D12,"-")</f>
        <v>8.9235295513322418E-2</v>
      </c>
      <c r="I5" s="17">
        <f>Raw_Data!F12-Raw_Data!E12</f>
        <v>2645</v>
      </c>
      <c r="J5" s="22">
        <f>IFERROR((Raw_Data!F12-Raw_Data!E12)/Raw_Data!E12,"-")</f>
        <v>5.7615230460921846E-2</v>
      </c>
      <c r="K5" s="21">
        <f>IFERROR((Raw_Data!F12/Raw_Data!B12)^(1/4)-1,"-")</f>
        <v>0.10615829432560453</v>
      </c>
    </row>
    <row r="6" spans="1:11" ht="16.95" customHeight="1" x14ac:dyDescent="0.3">
      <c r="A6" s="81" t="s">
        <v>112</v>
      </c>
      <c r="B6" s="15">
        <f>Raw_Data!B28</f>
        <v>38802</v>
      </c>
      <c r="C6" s="15">
        <f>Raw_Data!C28-Raw_Data!B28</f>
        <v>1147</v>
      </c>
      <c r="D6" s="20">
        <f>IFERROR((Raw_Data!C28-Raw_Data!B28)/Raw_Data!B28,"-")</f>
        <v>2.9560331941652491E-2</v>
      </c>
      <c r="E6" s="15">
        <f>Raw_Data!D28-Raw_Data!C28</f>
        <v>2016</v>
      </c>
      <c r="F6" s="20">
        <f>IFERROR((Raw_Data!D28-Raw_Data!C28)/Raw_Data!C28,"-")</f>
        <v>5.0464342036096024E-2</v>
      </c>
      <c r="G6" s="15">
        <f>Raw_Data!E28-Raw_Data!D28</f>
        <v>2373</v>
      </c>
      <c r="H6" s="20">
        <f>IFERROR((Raw_Data!E28-Raw_Data!D28)/Raw_Data!D28,"-")</f>
        <v>5.6547122602168473E-2</v>
      </c>
      <c r="I6" s="15">
        <f>Raw_Data!F28-Raw_Data!E28</f>
        <v>4570</v>
      </c>
      <c r="J6" s="20">
        <f>IFERROR((Raw_Data!F28-Raw_Data!E28)/Raw_Data!E28,"-")</f>
        <v>0.1030718570977491</v>
      </c>
      <c r="K6" s="21">
        <f>IFERROR((Raw_Data!F28/Raw_Data!B28)^(1/4)-1,"-")</f>
        <v>5.9574378367559522E-2</v>
      </c>
    </row>
    <row r="7" spans="1:11" ht="16.95" customHeight="1" x14ac:dyDescent="0.3">
      <c r="A7" s="82" t="s">
        <v>113</v>
      </c>
      <c r="B7" s="17">
        <f>Raw_Data!B20</f>
        <v>129992</v>
      </c>
      <c r="C7" s="17">
        <f>Raw_Data!C20-Raw_Data!B20</f>
        <v>10932</v>
      </c>
      <c r="D7" s="22">
        <f>IFERROR((Raw_Data!C20-Raw_Data!B20)/Raw_Data!B20,"-")</f>
        <v>8.4097482922025971E-2</v>
      </c>
      <c r="E7" s="17">
        <f>Raw_Data!D20-Raw_Data!C20</f>
        <v>1935</v>
      </c>
      <c r="F7" s="22">
        <f>IFERROR((Raw_Data!D20-Raw_Data!C20)/Raw_Data!C20,"-")</f>
        <v>1.3730805256734126E-2</v>
      </c>
      <c r="G7" s="17">
        <f>Raw_Data!E20-Raw_Data!D20</f>
        <v>2613</v>
      </c>
      <c r="H7" s="22">
        <f>IFERROR((Raw_Data!E20-Raw_Data!D20)/Raw_Data!D20,"-")</f>
        <v>1.8290762220091138E-2</v>
      </c>
      <c r="I7" s="17">
        <f>Raw_Data!F20-Raw_Data!E20</f>
        <v>13177</v>
      </c>
      <c r="J7" s="22">
        <f>IFERROR((Raw_Data!F20-Raw_Data!E20)/Raw_Data!E20,"-")</f>
        <v>9.058100527936648E-2</v>
      </c>
      <c r="K7" s="21">
        <f>IFERROR((Raw_Data!F20/Raw_Data!B20)^(1/4)-1,"-")</f>
        <v>5.1066461336538582E-2</v>
      </c>
    </row>
    <row r="8" spans="1:11" ht="16.95" customHeight="1" x14ac:dyDescent="0.3">
      <c r="A8" s="81" t="s">
        <v>114</v>
      </c>
      <c r="B8" s="15">
        <f>Raw_Data!B24</f>
        <v>30079</v>
      </c>
      <c r="C8" s="15">
        <f>Raw_Data!C24-Raw_Data!B24</f>
        <v>11731</v>
      </c>
      <c r="D8" s="20">
        <f>IFERROR((Raw_Data!C24-Raw_Data!B24)/Raw_Data!B24,"-")</f>
        <v>0.39000631669935837</v>
      </c>
      <c r="E8" s="15">
        <f>Raw_Data!D24-Raw_Data!C24</f>
        <v>8144</v>
      </c>
      <c r="F8" s="20">
        <f>IFERROR((Raw_Data!D24-Raw_Data!C24)/Raw_Data!C24,"-")</f>
        <v>0.19478593637885674</v>
      </c>
      <c r="G8" s="15">
        <f>Raw_Data!E24-Raw_Data!D24</f>
        <v>3623</v>
      </c>
      <c r="H8" s="20">
        <f>IFERROR((Raw_Data!E24-Raw_Data!D24)/Raw_Data!D24,"-")</f>
        <v>7.2526724586619684E-2</v>
      </c>
      <c r="I8" s="15">
        <f>Raw_Data!F24-Raw_Data!E24</f>
        <v>5469</v>
      </c>
      <c r="J8" s="20">
        <f>IFERROR((Raw_Data!F24-Raw_Data!E24)/Raw_Data!E24,"-")</f>
        <v>0.10207738395206899</v>
      </c>
      <c r="K8" s="21">
        <f>IFERROR((Raw_Data!F24/Raw_Data!B24)^(1/4)-1,"-")</f>
        <v>0.18367308396999404</v>
      </c>
    </row>
    <row r="9" spans="1:11" ht="16.95" customHeight="1" x14ac:dyDescent="0.3">
      <c r="A9" s="82" t="s">
        <v>115</v>
      </c>
      <c r="B9" s="17">
        <f>Raw_Data!B18</f>
        <v>7795</v>
      </c>
      <c r="C9" s="17">
        <f>Raw_Data!C18-Raw_Data!B18</f>
        <v>23</v>
      </c>
      <c r="D9" s="22">
        <f>IFERROR((Raw_Data!C18-Raw_Data!B18)/Raw_Data!B18,"-")</f>
        <v>2.9506093649775498E-3</v>
      </c>
      <c r="E9" s="17">
        <f>Raw_Data!D18-Raw_Data!C18</f>
        <v>-130</v>
      </c>
      <c r="F9" s="22">
        <f>IFERROR((Raw_Data!D18-Raw_Data!C18)/Raw_Data!C18,"-")</f>
        <v>-1.66282936812484E-2</v>
      </c>
      <c r="G9" s="17">
        <f>Raw_Data!E18-Raw_Data!D18</f>
        <v>333</v>
      </c>
      <c r="H9" s="22">
        <f>IFERROR((Raw_Data!E18-Raw_Data!D18)/Raw_Data!D18,"-")</f>
        <v>4.3314255983350675E-2</v>
      </c>
      <c r="I9" s="17">
        <f>Raw_Data!F18-Raw_Data!E18</f>
        <v>1371</v>
      </c>
      <c r="J9" s="22">
        <f>IFERROR((Raw_Data!F18-Raw_Data!E18)/Raw_Data!E18,"-")</f>
        <v>0.17092631841416281</v>
      </c>
      <c r="K9" s="21">
        <f>IFERROR((Raw_Data!F18/Raw_Data!B18)^(1/4)-1,"-")</f>
        <v>4.7696495205476586E-2</v>
      </c>
    </row>
    <row r="10" spans="1:11" ht="16.95" customHeight="1" x14ac:dyDescent="0.3">
      <c r="A10" s="81" t="s">
        <v>116</v>
      </c>
      <c r="B10" s="15">
        <f>Raw_Data!B25</f>
        <v>9329</v>
      </c>
      <c r="C10" s="15">
        <f>Raw_Data!C25-Raw_Data!B25</f>
        <v>8892</v>
      </c>
      <c r="D10" s="20">
        <f>IFERROR((Raw_Data!C25-Raw_Data!B25)/Raw_Data!B25,"-")</f>
        <v>0.95315682281059066</v>
      </c>
      <c r="E10" s="15">
        <f>Raw_Data!D25-Raw_Data!C25</f>
        <v>-7189</v>
      </c>
      <c r="F10" s="20">
        <f>IFERROR((Raw_Data!D25-Raw_Data!C25)/Raw_Data!C25,"-")</f>
        <v>-0.39454475605071071</v>
      </c>
      <c r="G10" s="15">
        <f>Raw_Data!E25-Raw_Data!D25</f>
        <v>2254</v>
      </c>
      <c r="H10" s="20">
        <f>IFERROR((Raw_Data!E25-Raw_Data!D25)/Raw_Data!D25,"-")</f>
        <v>0.20431472081218274</v>
      </c>
      <c r="I10" s="15">
        <f>Raw_Data!F25-Raw_Data!E25</f>
        <v>2177</v>
      </c>
      <c r="J10" s="20">
        <f>IFERROR((Raw_Data!F25-Raw_Data!E25)/Raw_Data!E25,"-")</f>
        <v>0.16385669125395153</v>
      </c>
      <c r="K10" s="21">
        <f>IFERROR((Raw_Data!F25/Raw_Data!B25)^(1/4)-1,"-")</f>
        <v>0.13465718013911698</v>
      </c>
    </row>
    <row r="13" spans="1:11" ht="19.95" customHeight="1" x14ac:dyDescent="0.3">
      <c r="A13" s="124" t="s">
        <v>117</v>
      </c>
      <c r="B13" s="124"/>
      <c r="C13" s="124"/>
      <c r="D13" s="124"/>
      <c r="E13" s="124"/>
      <c r="F13" s="124"/>
      <c r="G13" s="124"/>
      <c r="H13" s="124"/>
      <c r="I13" s="124"/>
      <c r="J13" s="124"/>
      <c r="K13" s="124"/>
    </row>
    <row r="14" spans="1:11" ht="16.05" customHeight="1" x14ac:dyDescent="0.3">
      <c r="A14" s="122" t="s">
        <v>118</v>
      </c>
      <c r="B14" s="123"/>
      <c r="D14" s="122" t="s">
        <v>119</v>
      </c>
      <c r="E14" s="123"/>
      <c r="G14" s="122" t="s">
        <v>120</v>
      </c>
      <c r="H14" s="123"/>
      <c r="J14" s="122" t="s">
        <v>121</v>
      </c>
      <c r="K14" s="123"/>
    </row>
    <row r="15" spans="1:11" ht="25.95" customHeight="1" x14ac:dyDescent="0.3">
      <c r="A15" s="23">
        <f>IFERROR((Raw_Data!F5/Raw_Data!B5)^(1/4)-1,"-")</f>
        <v>0.11672138022895751</v>
      </c>
      <c r="D15" s="23">
        <f>IFERROR((Raw_Data!F12/Raw_Data!B12)^(1/4)-1,"-")</f>
        <v>0.10615829432560453</v>
      </c>
      <c r="G15" s="23">
        <f>IFERROR((Raw_Data!F28/Raw_Data!B28)^(1/4)-1,"-")</f>
        <v>5.9574378367559522E-2</v>
      </c>
      <c r="J15" s="23">
        <f>IFERROR((Raw_Data!F20/Raw_Data!B20)^(1/4)-1,"-")</f>
        <v>5.1066461336538582E-2</v>
      </c>
    </row>
  </sheetData>
  <mergeCells count="7">
    <mergeCell ref="A1:K1"/>
    <mergeCell ref="J14:K14"/>
    <mergeCell ref="A2:K2"/>
    <mergeCell ref="D14:E14"/>
    <mergeCell ref="A14:B14"/>
    <mergeCell ref="G14:H14"/>
    <mergeCell ref="A13:K13"/>
  </mergeCells>
  <conditionalFormatting sqref="D4:D10">
    <cfRule type="colorScale" priority="1">
      <colorScale>
        <cfvo type="min"/>
        <cfvo type="num" val="0"/>
        <cfvo type="max"/>
        <color rgb="FFF0E8E8"/>
        <color rgb="FFF6F7F8"/>
        <color rgb="FFE4EFE4"/>
      </colorScale>
    </cfRule>
  </conditionalFormatting>
  <conditionalFormatting sqref="F4:F10">
    <cfRule type="colorScale" priority="2">
      <colorScale>
        <cfvo type="min"/>
        <cfvo type="num" val="0"/>
        <cfvo type="max"/>
        <color rgb="FFF0E8E8"/>
        <color rgb="FFF6F7F8"/>
        <color rgb="FFE4EFE4"/>
      </colorScale>
    </cfRule>
  </conditionalFormatting>
  <conditionalFormatting sqref="H4:H10">
    <cfRule type="colorScale" priority="3">
      <colorScale>
        <cfvo type="min"/>
        <cfvo type="num" val="0"/>
        <cfvo type="max"/>
        <color rgb="FFF0E8E8"/>
        <color rgb="FFF6F7F8"/>
        <color rgb="FFE4EFE4"/>
      </colorScale>
    </cfRule>
  </conditionalFormatting>
  <conditionalFormatting sqref="J4:J10">
    <cfRule type="colorScale" priority="4">
      <colorScale>
        <cfvo type="min"/>
        <cfvo type="num" val="0"/>
        <cfvo type="max"/>
        <color rgb="FFF0E8E8"/>
        <color rgb="FFF6F7F8"/>
        <color rgb="FFE4EFE4"/>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6274"/>
  </sheetPr>
  <dimension ref="A1:G39"/>
  <sheetViews>
    <sheetView showGridLines="0" topLeftCell="A21" workbookViewId="0">
      <selection activeCell="J14" sqref="J14"/>
    </sheetView>
  </sheetViews>
  <sheetFormatPr defaultRowHeight="14.4" x14ac:dyDescent="0.3"/>
  <cols>
    <col min="1" max="1" width="32" customWidth="1"/>
    <col min="2" max="6" width="11" customWidth="1"/>
    <col min="7" max="7" width="42" customWidth="1"/>
  </cols>
  <sheetData>
    <row r="1" spans="1:7" ht="30" customHeight="1" thickBot="1" x14ac:dyDescent="0.35">
      <c r="A1" s="102" t="s">
        <v>122</v>
      </c>
      <c r="B1" s="102"/>
      <c r="C1" s="102"/>
      <c r="D1" s="102"/>
      <c r="E1" s="102"/>
      <c r="F1" s="102"/>
      <c r="G1" s="102"/>
    </row>
    <row r="2" spans="1:7" ht="16.05" customHeight="1" x14ac:dyDescent="0.3">
      <c r="A2" s="111" t="s">
        <v>123</v>
      </c>
      <c r="B2" s="111"/>
      <c r="C2" s="111"/>
      <c r="D2" s="111"/>
      <c r="E2" s="111"/>
      <c r="F2" s="111"/>
      <c r="G2" s="111"/>
    </row>
    <row r="3" spans="1:7" ht="18" customHeight="1" x14ac:dyDescent="0.3">
      <c r="A3" s="2" t="s">
        <v>86</v>
      </c>
      <c r="B3" s="2" t="s">
        <v>31</v>
      </c>
      <c r="C3" s="2" t="s">
        <v>32</v>
      </c>
      <c r="D3" s="2" t="s">
        <v>33</v>
      </c>
      <c r="E3" s="2" t="s">
        <v>34</v>
      </c>
      <c r="F3" s="2" t="s">
        <v>35</v>
      </c>
      <c r="G3" s="2" t="s">
        <v>124</v>
      </c>
    </row>
    <row r="4" spans="1:7" ht="19.95" customHeight="1" x14ac:dyDescent="0.3">
      <c r="A4" s="125" t="s">
        <v>125</v>
      </c>
      <c r="B4" s="125"/>
      <c r="C4" s="125"/>
      <c r="D4" s="125"/>
      <c r="E4" s="125"/>
      <c r="F4" s="125"/>
      <c r="G4" s="125"/>
    </row>
    <row r="5" spans="1:7" ht="16.95" customHeight="1" x14ac:dyDescent="0.3">
      <c r="A5" s="24" t="s">
        <v>126</v>
      </c>
      <c r="B5" s="25" t="str">
        <f>IFERROR((Raw_Data!B5-Raw_Data!A5)/Raw_Data!A5,"-")</f>
        <v>-</v>
      </c>
      <c r="C5" s="25">
        <f>IFERROR((Raw_Data!C5-Raw_Data!B5)/Raw_Data!B5,"-")</f>
        <v>0.16797115308478044</v>
      </c>
      <c r="D5" s="25">
        <f>IFERROR((Raw_Data!D5-Raw_Data!C5)/Raw_Data!C5,"-")</f>
        <v>0.17576686796624844</v>
      </c>
      <c r="E5" s="25">
        <f>IFERROR((Raw_Data!E5-Raw_Data!D5)/Raw_Data!D5,"-")</f>
        <v>6.8460644554639891E-2</v>
      </c>
      <c r="F5" s="25">
        <f>IFERROR((Raw_Data!F5-Raw_Data!E5)/Raw_Data!E5,"-")</f>
        <v>5.9906265437351856E-2</v>
      </c>
      <c r="G5" s="26" t="s">
        <v>127</v>
      </c>
    </row>
    <row r="6" spans="1:7" ht="16.95" customHeight="1" x14ac:dyDescent="0.3">
      <c r="A6" s="27" t="s">
        <v>41</v>
      </c>
      <c r="B6" s="28">
        <f>Raw_Data!B12/Raw_Data!B5</f>
        <v>0.19753071380278603</v>
      </c>
      <c r="C6" s="28">
        <f>Raw_Data!C12/Raw_Data!C5</f>
        <v>0.19987588264130082</v>
      </c>
      <c r="D6" s="28">
        <f>Raw_Data!D12/Raw_Data!D5</f>
        <v>0.18693947431450647</v>
      </c>
      <c r="E6" s="28">
        <f>Raw_Data!E12/Raw_Data!E5</f>
        <v>0.19057423835478823</v>
      </c>
      <c r="F6" s="28">
        <f>Raw_Data!F12/Raw_Data!F5</f>
        <v>0.1901623035828986</v>
      </c>
      <c r="G6" s="29" t="s">
        <v>128</v>
      </c>
    </row>
    <row r="7" spans="1:7" ht="16.95" customHeight="1" x14ac:dyDescent="0.3">
      <c r="A7" s="24" t="s">
        <v>129</v>
      </c>
      <c r="B7" s="25">
        <f>(Raw_Data!B5-Raw_Data!B6)/Raw_Data!B5</f>
        <v>0.2782119298074639</v>
      </c>
      <c r="C7" s="25">
        <f>(Raw_Data!C5-Raw_Data!C6)/Raw_Data!C5</f>
        <v>0.27660961440178561</v>
      </c>
      <c r="D7" s="25">
        <f>(Raw_Data!D5-Raw_Data!D6)/Raw_Data!D5</f>
        <v>0.25240621313060524</v>
      </c>
      <c r="E7" s="25">
        <f>(Raw_Data!E5-Raw_Data!E6)/Raw_Data!E5</f>
        <v>0.25736322765709257</v>
      </c>
      <c r="F7" s="25">
        <f>(Raw_Data!F5-Raw_Data!F6)/Raw_Data!F5</f>
        <v>0.25239695445786531</v>
      </c>
      <c r="G7" s="26" t="s">
        <v>130</v>
      </c>
    </row>
    <row r="8" spans="1:7" ht="16.95" customHeight="1" x14ac:dyDescent="0.3">
      <c r="A8" s="27" t="s">
        <v>131</v>
      </c>
      <c r="B8" s="30">
        <f>Raw_Data!B5-Raw_Data!B6+Raw_Data!B8</f>
        <v>49741</v>
      </c>
      <c r="C8" s="30">
        <f>Raw_Data!C5-Raw_Data!C6+Raw_Data!C8</f>
        <v>57645</v>
      </c>
      <c r="D8" s="30">
        <f>Raw_Data!D5-Raw_Data!D6+Raw_Data!D8</f>
        <v>61929</v>
      </c>
      <c r="E8" s="30">
        <f>Raw_Data!E5-Raw_Data!E6+Raw_Data!E8</f>
        <v>66982</v>
      </c>
      <c r="F8" s="30">
        <f>Raw_Data!F5-Raw_Data!F6+Raw_Data!F8</f>
        <v>69685</v>
      </c>
      <c r="G8" s="29" t="s">
        <v>132</v>
      </c>
    </row>
    <row r="9" spans="1:7" ht="16.95" customHeight="1" x14ac:dyDescent="0.3">
      <c r="A9" s="24" t="s">
        <v>133</v>
      </c>
      <c r="B9" s="25">
        <f>(Raw_Data!B5-Raw_Data!B6+Raw_Data!B8)/Raw_Data!B5</f>
        <v>0.30297179263843294</v>
      </c>
      <c r="C9" s="25">
        <f>(Raw_Data!C5-Raw_Data!C6+Raw_Data!C8)/Raw_Data!C5</f>
        <v>0.30061954379048156</v>
      </c>
      <c r="D9" s="25">
        <f>(Raw_Data!D5-Raw_Data!D6+Raw_Data!D8)/Raw_Data!D5</f>
        <v>0.27468087182535106</v>
      </c>
      <c r="E9" s="25">
        <f>(Raw_Data!E5-Raw_Data!E6+Raw_Data!E8)/Raw_Data!E5</f>
        <v>0.27805706267928082</v>
      </c>
      <c r="F9" s="25">
        <f>(Raw_Data!F5-Raw_Data!F6+Raw_Data!F8)/Raw_Data!F5</f>
        <v>0.27292773103977691</v>
      </c>
      <c r="G9" s="26" t="s">
        <v>134</v>
      </c>
    </row>
    <row r="10" spans="1:7" ht="16.95" customHeight="1" x14ac:dyDescent="0.3">
      <c r="A10" s="27" t="s">
        <v>135</v>
      </c>
      <c r="B10" s="28">
        <f>Raw_Data!B12/(Raw_Data!B16+Raw_Data!B17)</f>
        <v>0.37520391517128876</v>
      </c>
      <c r="C10" s="28">
        <f>Raw_Data!C12/(Raw_Data!C16+Raw_Data!C17)</f>
        <v>0.42996892493745725</v>
      </c>
      <c r="D10" s="28">
        <f>Raw_Data!D12/(Raw_Data!D16+Raw_Data!D17)</f>
        <v>0.46610413164646552</v>
      </c>
      <c r="E10" s="28">
        <f>Raw_Data!E12/(Raw_Data!E16+Raw_Data!E17)</f>
        <v>0.50733238294157301</v>
      </c>
      <c r="F10" s="28">
        <f>Raw_Data!F12/(Raw_Data!F16+Raw_Data!F17)</f>
        <v>0.51240027016758838</v>
      </c>
      <c r="G10" s="29" t="s">
        <v>136</v>
      </c>
    </row>
    <row r="11" spans="1:7" ht="16.95" customHeight="1" x14ac:dyDescent="0.3">
      <c r="A11" s="24" t="s">
        <v>137</v>
      </c>
      <c r="B11" s="25">
        <f>Raw_Data!B10/(Raw_Data!B20-Raw_Data!B19)</f>
        <v>0.46440548456934244</v>
      </c>
      <c r="C11" s="25">
        <f>Raw_Data!C10/(Raw_Data!C20-Raw_Data!C19)</f>
        <v>0.53309198923234014</v>
      </c>
      <c r="D11" s="25">
        <f>Raw_Data!D10/(Raw_Data!D20-Raw_Data!D19)</f>
        <v>0.58002079256360073</v>
      </c>
      <c r="E11" s="25">
        <f>Raw_Data!E10/(Raw_Data!E20-Raw_Data!E19)</f>
        <v>0.629347274388387</v>
      </c>
      <c r="F11" s="25">
        <f>Raw_Data!F10/(Raw_Data!F20-Raw_Data!F19)</f>
        <v>0.62729001036985832</v>
      </c>
      <c r="G11" s="26" t="s">
        <v>138</v>
      </c>
    </row>
    <row r="12" spans="1:7" ht="16.95" customHeight="1" x14ac:dyDescent="0.3">
      <c r="A12" s="27" t="s">
        <v>139</v>
      </c>
      <c r="B12" s="28">
        <f>Raw_Data!B12/Raw_Data!B20</f>
        <v>0.24947689088559297</v>
      </c>
      <c r="C12" s="28">
        <f>Raw_Data!C12/Raw_Data!C20</f>
        <v>0.27196928841077461</v>
      </c>
      <c r="D12" s="28">
        <f>Raw_Data!D12/Raw_Data!D20</f>
        <v>0.29502516467285927</v>
      </c>
      <c r="E12" s="28">
        <f>Raw_Data!E12/Raw_Data!E20</f>
        <v>0.31557963044434667</v>
      </c>
      <c r="F12" s="28">
        <f>Raw_Data!F12/Raw_Data!F20</f>
        <v>0.30604037844549919</v>
      </c>
      <c r="G12" s="29" t="s">
        <v>140</v>
      </c>
    </row>
    <row r="14" spans="1:7" ht="19.95" customHeight="1" x14ac:dyDescent="0.3">
      <c r="A14" s="108" t="s">
        <v>141</v>
      </c>
      <c r="B14" s="108"/>
      <c r="C14" s="108"/>
      <c r="D14" s="108"/>
      <c r="E14" s="108"/>
      <c r="F14" s="108"/>
      <c r="G14" s="108"/>
    </row>
    <row r="15" spans="1:7" ht="16.95" customHeight="1" x14ac:dyDescent="0.3">
      <c r="A15" s="24" t="s">
        <v>142</v>
      </c>
      <c r="B15" s="31">
        <f>IFERROR(Raw_Data!B23/Raw_Data!B19,"-")</f>
        <v>2.1997539425120234</v>
      </c>
      <c r="C15" s="31">
        <f>IFERROR(Raw_Data!C23/Raw_Data!C19,"-")</f>
        <v>2.000045488661951</v>
      </c>
      <c r="D15" s="31">
        <f>IFERROR(Raw_Data!D23/Raw_Data!D19,"-")</f>
        <v>1.876036382327307</v>
      </c>
      <c r="E15" s="31">
        <f>IFERROR(Raw_Data!E23/Raw_Data!E19,"-")</f>
        <v>1.9705719517908096</v>
      </c>
      <c r="F15" s="31">
        <f>IFERROR(Raw_Data!F23/Raw_Data!F19,"-")</f>
        <v>1.8914515329993946</v>
      </c>
      <c r="G15" s="26" t="s">
        <v>143</v>
      </c>
    </row>
    <row r="16" spans="1:7" ht="16.95" customHeight="1" x14ac:dyDescent="0.3">
      <c r="A16" s="27" t="s">
        <v>144</v>
      </c>
      <c r="B16" s="30">
        <f>Raw_Data!B25</f>
        <v>9329</v>
      </c>
      <c r="C16" s="30">
        <f>Raw_Data!C25</f>
        <v>18221</v>
      </c>
      <c r="D16" s="30">
        <f>Raw_Data!D25</f>
        <v>11032</v>
      </c>
      <c r="E16" s="30">
        <f>Raw_Data!E25</f>
        <v>13286</v>
      </c>
      <c r="F16" s="30">
        <f>Raw_Data!F25</f>
        <v>15463</v>
      </c>
      <c r="G16" s="29" t="s">
        <v>145</v>
      </c>
    </row>
    <row r="17" spans="1:7" ht="16.95" customHeight="1" x14ac:dyDescent="0.3">
      <c r="A17" s="24" t="s">
        <v>146</v>
      </c>
      <c r="B17" s="31">
        <f>IFERROR(Raw_Data!B28/Raw_Data!B12,"-")</f>
        <v>1.1964847363552267</v>
      </c>
      <c r="C17" s="31">
        <f>IFERROR(Raw_Data!C28/Raw_Data!C12,"-")</f>
        <v>1.0423200354841236</v>
      </c>
      <c r="D17" s="31">
        <f>IFERROR(Raw_Data!D28/Raw_Data!D12,"-")</f>
        <v>0.99568178043514366</v>
      </c>
      <c r="E17" s="31">
        <f>IFERROR(Raw_Data!E28/Raw_Data!E12,"-")</f>
        <v>0.96580116755249634</v>
      </c>
      <c r="F17" s="31">
        <f>IFERROR(Raw_Data!F28/Raw_Data!F12,"-")</f>
        <v>1.0073115976355735</v>
      </c>
      <c r="G17" s="26" t="s">
        <v>147</v>
      </c>
    </row>
    <row r="19" spans="1:7" ht="19.95" customHeight="1" x14ac:dyDescent="0.3">
      <c r="A19" s="108" t="s">
        <v>148</v>
      </c>
      <c r="B19" s="108"/>
      <c r="C19" s="108"/>
      <c r="D19" s="108"/>
      <c r="E19" s="108"/>
      <c r="F19" s="108"/>
      <c r="G19" s="108"/>
    </row>
    <row r="20" spans="1:7" ht="16.95" customHeight="1" x14ac:dyDescent="0.3">
      <c r="A20" s="24" t="s">
        <v>37</v>
      </c>
      <c r="B20" s="31">
        <f>Raw_Data!B18/(Raw_Data!B16+Raw_Data!B17)</f>
        <v>9.0185461571390554E-2</v>
      </c>
      <c r="C20" s="31">
        <f>Raw_Data!C18/(Raw_Data!C16+Raw_Data!C17)</f>
        <v>8.7705718035876554E-2</v>
      </c>
      <c r="D20" s="31">
        <f>Raw_Data!D18/(Raw_Data!D16+Raw_Data!D17)</f>
        <v>8.5021675661328858E-2</v>
      </c>
      <c r="E20" s="31">
        <f>Raw_Data!E18/(Raw_Data!E16+Raw_Data!E17)</f>
        <v>8.8640608250726602E-2</v>
      </c>
      <c r="F20" s="31">
        <f>Raw_Data!F18/(Raw_Data!F16+Raw_Data!F17)</f>
        <v>9.9117733969352861E-2</v>
      </c>
      <c r="G20" s="26" t="s">
        <v>149</v>
      </c>
    </row>
    <row r="21" spans="1:7" ht="16.95" customHeight="1" x14ac:dyDescent="0.3">
      <c r="A21" s="27" t="s">
        <v>39</v>
      </c>
      <c r="B21" s="32">
        <f>IFERROR((Raw_Data!B5-Raw_Data!B6)/Raw_Data!B9,"-")</f>
        <v>71.704866562009414</v>
      </c>
      <c r="C21" s="32">
        <f>IFERROR((Raw_Data!C5-Raw_Data!C6)/Raw_Data!C9,"-")</f>
        <v>67.654336734693871</v>
      </c>
      <c r="D21" s="32">
        <f>IFERROR((Raw_Data!D5-Raw_Data!D6)/Raw_Data!D9,"-")</f>
        <v>73.051347881899872</v>
      </c>
      <c r="E21" s="32">
        <f>IFERROR((Raw_Data!E5-Raw_Data!E6)/Raw_Data!E9,"-")</f>
        <v>79.68766066838046</v>
      </c>
      <c r="F21" s="32">
        <f>IFERROR((Raw_Data!F5-Raw_Data!F6)/Raw_Data!F9,"-")</f>
        <v>80.958542713567837</v>
      </c>
      <c r="G21" s="29" t="s">
        <v>150</v>
      </c>
    </row>
    <row r="22" spans="1:7" ht="16.95" customHeight="1" x14ac:dyDescent="0.3">
      <c r="A22" s="24" t="s">
        <v>151</v>
      </c>
      <c r="B22" s="25">
        <f>Raw_Data!B18/Raw_Data!B20</f>
        <v>5.9965228629454123E-2</v>
      </c>
      <c r="C22" s="25">
        <f>Raw_Data!C18/Raw_Data!C20</f>
        <v>5.5476710851238967E-2</v>
      </c>
      <c r="D22" s="25">
        <f>Raw_Data!D18/Raw_Data!D20</f>
        <v>5.3815300401094786E-2</v>
      </c>
      <c r="E22" s="25">
        <f>Raw_Data!E18/Raw_Data!E20</f>
        <v>5.5137758468983722E-2</v>
      </c>
      <c r="F22" s="25">
        <f>Raw_Data!F18/Raw_Data!F20</f>
        <v>5.9199868892964976E-2</v>
      </c>
      <c r="G22" s="26" t="s">
        <v>152</v>
      </c>
    </row>
    <row r="24" spans="1:7" ht="19.95" customHeight="1" x14ac:dyDescent="0.3">
      <c r="A24" s="108" t="s">
        <v>153</v>
      </c>
      <c r="B24" s="108"/>
      <c r="C24" s="108"/>
      <c r="D24" s="108"/>
      <c r="E24" s="108"/>
      <c r="F24" s="108"/>
      <c r="G24" s="108"/>
    </row>
    <row r="25" spans="1:7" ht="16.95" customHeight="1" x14ac:dyDescent="0.3">
      <c r="A25" s="24" t="s">
        <v>47</v>
      </c>
      <c r="B25" s="33">
        <f>Raw_Data!B24/Raw_Data!B5*365</f>
        <v>66.871943085815914</v>
      </c>
      <c r="C25" s="33">
        <f>Raw_Data!C24/Raw_Data!C5*365</f>
        <v>79.584519749262071</v>
      </c>
      <c r="D25" s="33">
        <f>Raw_Data!D24/Raw_Data!D5*365</f>
        <v>80.871869705222267</v>
      </c>
      <c r="E25" s="33">
        <f>Raw_Data!E24/Raw_Data!E5*365</f>
        <v>81.179631620678066</v>
      </c>
      <c r="F25" s="33">
        <f>Raw_Data!F24/Raw_Data!F5*365</f>
        <v>84.409573718099367</v>
      </c>
      <c r="G25" s="26" t="s">
        <v>154</v>
      </c>
    </row>
    <row r="26" spans="1:7" ht="16.95" customHeight="1" x14ac:dyDescent="0.3">
      <c r="A26" s="27" t="s">
        <v>155</v>
      </c>
      <c r="B26" s="34">
        <f>Raw_Data!B5/Raw_Data!B20</f>
        <v>1.2629777217059512</v>
      </c>
      <c r="C26" s="34">
        <f>Raw_Data!C5/Raw_Data!C20</f>
        <v>1.3606908688371038</v>
      </c>
      <c r="D26" s="34">
        <f>Raw_Data!D5/Raw_Data!D20</f>
        <v>1.5781854835887132</v>
      </c>
      <c r="E26" s="34">
        <f>Raw_Data!E5/Raw_Data!E20</f>
        <v>1.6559406621205455</v>
      </c>
      <c r="F26" s="34">
        <f>Raw_Data!F5/Raw_Data!F20</f>
        <v>1.6093640678478907</v>
      </c>
      <c r="G26" s="29" t="s">
        <v>156</v>
      </c>
    </row>
    <row r="27" spans="1:7" ht="16.95" customHeight="1" x14ac:dyDescent="0.3">
      <c r="A27" s="24" t="s">
        <v>157</v>
      </c>
      <c r="B27" s="35">
        <f>IFERROR(Raw_Data!B5/Raw_Data!B24,"-")</f>
        <v>5.4581934239835102</v>
      </c>
      <c r="C27" s="35">
        <f>IFERROR(Raw_Data!C5/Raw_Data!C24,"-")</f>
        <v>4.5863190624252574</v>
      </c>
      <c r="D27" s="35">
        <f>IFERROR(Raw_Data!D5/Raw_Data!D24,"-")</f>
        <v>4.5133122472674865</v>
      </c>
      <c r="E27" s="35">
        <f>IFERROR(Raw_Data!E5/Raw_Data!E24,"-")</f>
        <v>4.4962017283535847</v>
      </c>
      <c r="F27" s="35">
        <f>IFERROR(Raw_Data!F5/Raw_Data!F24,"-")</f>
        <v>4.3241540493852249</v>
      </c>
      <c r="G27" s="26" t="s">
        <v>158</v>
      </c>
    </row>
    <row r="29" spans="1:7" ht="19.95" customHeight="1" x14ac:dyDescent="0.3">
      <c r="A29" s="108" t="s">
        <v>159</v>
      </c>
      <c r="B29" s="108"/>
      <c r="C29" s="108"/>
      <c r="D29" s="108"/>
      <c r="E29" s="108"/>
      <c r="F29" s="108"/>
      <c r="G29" s="108"/>
    </row>
    <row r="30" spans="1:7" ht="16.95" customHeight="1" x14ac:dyDescent="0.3">
      <c r="A30" s="24" t="s">
        <v>160</v>
      </c>
      <c r="B30" s="13">
        <f>Raw_Data!B12*100/Raw_Data!B35</f>
        <v>8766.9973777405303</v>
      </c>
      <c r="C30" s="13">
        <f>Raw_Data!C12*100/Raw_Data!C35</f>
        <v>10474.433603891666</v>
      </c>
      <c r="D30" s="13">
        <f>Raw_Data!D12*100/Raw_Data!D35</f>
        <v>11518.40616545052</v>
      </c>
      <c r="E30" s="13">
        <f>Raw_Data!E12*100/Raw_Data!E35</f>
        <v>12688.427627760426</v>
      </c>
      <c r="F30" s="13">
        <f>Raw_Data!F12*100/Raw_Data!F35</f>
        <v>13419.474309720572</v>
      </c>
      <c r="G30" s="26" t="s">
        <v>161</v>
      </c>
    </row>
    <row r="31" spans="1:7" ht="16.95" customHeight="1" x14ac:dyDescent="0.3">
      <c r="A31" s="27" t="s">
        <v>162</v>
      </c>
      <c r="B31" s="32">
        <f>IFERROR(Raw_Data!B34/(Raw_Data!B12*100/Raw_Data!B35),"-")</f>
        <v>0.36247872139993836</v>
      </c>
      <c r="C31" s="32">
        <f>IFERROR(Raw_Data!C34/(Raw_Data!C12*100/Raw_Data!C35),"-")</f>
        <v>0.35705510593054507</v>
      </c>
      <c r="D31" s="32">
        <f>IFERROR(Raw_Data!D34/(Raw_Data!D12*100/Raw_Data!D35),"-")</f>
        <v>0.27832843832301235</v>
      </c>
      <c r="E31" s="32">
        <f>IFERROR(Raw_Data!E34/(Raw_Data!E12*100/Raw_Data!E35),"-")</f>
        <v>0.30549884617060213</v>
      </c>
      <c r="F31" s="32">
        <f>IFERROR(Raw_Data!F34/(Raw_Data!F12*100/Raw_Data!F35),"-")</f>
        <v>0.26872513160875744</v>
      </c>
      <c r="G31" s="29" t="s">
        <v>163</v>
      </c>
    </row>
    <row r="32" spans="1:7" ht="16.95" customHeight="1" x14ac:dyDescent="0.3">
      <c r="A32" s="24" t="s">
        <v>164</v>
      </c>
      <c r="B32" s="36">
        <f>Raw_Data!B34*Raw_Data!B35</f>
        <v>1175518.4935000001</v>
      </c>
      <c r="C32" s="36">
        <f>Raw_Data!C34*Raw_Data!C35</f>
        <v>1368485.1045000001</v>
      </c>
      <c r="D32" s="36">
        <f>Raw_Data!D34*Raw_Data!D35</f>
        <v>1173070.8690000002</v>
      </c>
      <c r="E32" s="36">
        <f>Raw_Data!E34*Raw_Data!E35</f>
        <v>1402484.1030000001</v>
      </c>
      <c r="F32" s="36">
        <f>Raw_Data!F34*Raw_Data!F35</f>
        <v>1304741.1315000001</v>
      </c>
      <c r="G32" s="26" t="s">
        <v>165</v>
      </c>
    </row>
    <row r="33" spans="1:7" ht="16.95" customHeight="1" x14ac:dyDescent="0.3">
      <c r="A33" s="27" t="s">
        <v>49</v>
      </c>
      <c r="B33" s="28">
        <f>IFERROR(Raw_Data!B13/Raw_Data!B12,"-")</f>
        <v>0.4335491828553808</v>
      </c>
      <c r="C33" s="28">
        <f>IFERROR(Raw_Data!C13/Raw_Data!C12,"-")</f>
        <v>0.41062436402536073</v>
      </c>
      <c r="D33" s="28">
        <f>IFERROR(Raw_Data!D13/Raw_Data!D12,"-")</f>
        <v>0.99864759057584174</v>
      </c>
      <c r="E33" s="28">
        <f>IFERROR(Raw_Data!E13/Raw_Data!E12,"-")</f>
        <v>0.57562951990938394</v>
      </c>
      <c r="F33" s="28">
        <f>IFERROR(Raw_Data!F13/Raw_Data!F12,"-")</f>
        <v>0.93942701789796712</v>
      </c>
      <c r="G33" s="29" t="s">
        <v>166</v>
      </c>
    </row>
    <row r="34" spans="1:7" ht="16.95" customHeight="1" x14ac:dyDescent="0.3">
      <c r="A34" s="24" t="s">
        <v>167</v>
      </c>
      <c r="B34" s="35">
        <f>IFERROR(Raw_Data!B34*Raw_Data!B35/(Raw_Data!B16+Raw_Data!B17),"-")</f>
        <v>13.600343543553969</v>
      </c>
      <c r="C34" s="35">
        <f>IFERROR(Raw_Data!C34*Raw_Data!C35/(Raw_Data!C16+Raw_Data!C17),"-")</f>
        <v>15.352260004038637</v>
      </c>
      <c r="D34" s="35">
        <f>IFERROR(Raw_Data!D34*Raw_Data!D35/(Raw_Data!D16+Raw_Data!D17),"-")</f>
        <v>12.973003505706451</v>
      </c>
      <c r="E34" s="35">
        <f>IFERROR(Raw_Data!E34*Raw_Data!E35/(Raw_Data!E16+Raw_Data!E17),"-")</f>
        <v>15.498945761363261</v>
      </c>
      <c r="F34" s="35">
        <f>IFERROR(Raw_Data!F34*Raw_Data!F35/(Raw_Data!F16+Raw_Data!F17),"-")</f>
        <v>13.769483003714805</v>
      </c>
      <c r="G34" s="26" t="s">
        <v>168</v>
      </c>
    </row>
    <row r="36" spans="1:7" ht="19.95" customHeight="1" x14ac:dyDescent="0.3">
      <c r="A36" s="108" t="s">
        <v>169</v>
      </c>
      <c r="B36" s="108"/>
      <c r="C36" s="108"/>
      <c r="D36" s="108"/>
      <c r="E36" s="108"/>
      <c r="F36" s="108"/>
      <c r="G36" s="108"/>
    </row>
    <row r="37" spans="1:7" ht="16.95" customHeight="1" x14ac:dyDescent="0.3">
      <c r="A37" s="24" t="s">
        <v>170</v>
      </c>
      <c r="B37" s="25" t="str">
        <f>IFERROR((Raw_Data!B12-Raw_Data!A12)/Raw_Data!A12,"-")</f>
        <v>-</v>
      </c>
      <c r="C37" s="25">
        <f>IFERROR((Raw_Data!C12-Raw_Data!B12)/Raw_Data!B12,"-")</f>
        <v>0.18183780450200432</v>
      </c>
      <c r="D37" s="25">
        <f>IFERROR((Raw_Data!D12-Raw_Data!C12)/Raw_Data!C12,"-")</f>
        <v>9.9668640905888797E-2</v>
      </c>
      <c r="E37" s="25">
        <f>IFERROR((Raw_Data!E12-Raw_Data!D12)/Raw_Data!D12,"-")</f>
        <v>8.9235295513322418E-2</v>
      </c>
      <c r="F37" s="25">
        <f>IFERROR((Raw_Data!F12-Raw_Data!E12)/Raw_Data!E12,"-")</f>
        <v>5.7615230460921846E-2</v>
      </c>
      <c r="G37" s="26" t="s">
        <v>171</v>
      </c>
    </row>
    <row r="38" spans="1:7" ht="16.95" customHeight="1" x14ac:dyDescent="0.3">
      <c r="A38" s="27" t="s">
        <v>172</v>
      </c>
      <c r="B38" s="28" t="str">
        <f>IFERROR((Raw_Data!B12*100/Raw_Data!B35-Raw_Data!A12*100/Raw_Data!A35)/(Raw_Data!A12*100/Raw_Data!A35),"-")</f>
        <v>-</v>
      </c>
      <c r="C38" s="28">
        <f>IFERROR((Raw_Data!C12*100/Raw_Data!C35-Raw_Data!B12*100/Raw_Data!B35)/(Raw_Data!B12*100/Raw_Data!B35),"-")</f>
        <v>0.19475724157125093</v>
      </c>
      <c r="D38" s="28">
        <f>IFERROR((Raw_Data!D12*100/Raw_Data!D35-Raw_Data!C12*100/Raw_Data!C35)/(Raw_Data!C12*100/Raw_Data!C35),"-")</f>
        <v>9.9668640905888881E-2</v>
      </c>
      <c r="E38" s="28">
        <f>IFERROR((Raw_Data!E12*100/Raw_Data!E35-Raw_Data!D12*100/Raw_Data!D35)/(Raw_Data!D12*100/Raw_Data!D35),"-")</f>
        <v>0.10157841679688175</v>
      </c>
      <c r="F38" s="28">
        <f>IFERROR((Raw_Data!F12*100/Raw_Data!F35-Raw_Data!E12*100/Raw_Data!E35)/(Raw_Data!E12*100/Raw_Data!E35),"-")</f>
        <v>5.761523046092195E-2</v>
      </c>
      <c r="G38" s="29" t="s">
        <v>173</v>
      </c>
    </row>
    <row r="39" spans="1:7" ht="16.95" customHeight="1" x14ac:dyDescent="0.3">
      <c r="A39" s="24" t="s">
        <v>174</v>
      </c>
      <c r="B39" s="25" t="str">
        <f>IFERROR((Raw_Data!B28-Raw_Data!A28)/Raw_Data!A28,"-")</f>
        <v>-</v>
      </c>
      <c r="C39" s="25">
        <f>IFERROR((Raw_Data!C28-Raw_Data!B28)/Raw_Data!B28,"-")</f>
        <v>2.9560331941652491E-2</v>
      </c>
      <c r="D39" s="25">
        <f>IFERROR((Raw_Data!D28-Raw_Data!C28)/Raw_Data!C28,"-")</f>
        <v>5.0464342036096024E-2</v>
      </c>
      <c r="E39" s="25">
        <f>IFERROR((Raw_Data!E28-Raw_Data!D28)/Raw_Data!D28,"-")</f>
        <v>5.6547122602168473E-2</v>
      </c>
      <c r="F39" s="25">
        <f>IFERROR((Raw_Data!F28-Raw_Data!E28)/Raw_Data!E28,"-")</f>
        <v>0.1030718570977491</v>
      </c>
      <c r="G39" s="26" t="s">
        <v>175</v>
      </c>
    </row>
  </sheetData>
  <mergeCells count="8">
    <mergeCell ref="A36:G36"/>
    <mergeCell ref="A14:G14"/>
    <mergeCell ref="A1:G1"/>
    <mergeCell ref="A4:G4"/>
    <mergeCell ref="A24:G24"/>
    <mergeCell ref="A2:G2"/>
    <mergeCell ref="A29:G29"/>
    <mergeCell ref="A19:G19"/>
  </mergeCells>
  <conditionalFormatting sqref="B5:B13 B15:B18 B20:B23 B25:B28 B30:B35 B37:B41">
    <cfRule type="colorScale" priority="1">
      <colorScale>
        <cfvo type="min"/>
        <cfvo type="percentile" val="50"/>
        <cfvo type="max"/>
        <color rgb="FFF5F5F0"/>
        <color rgb="FFE8E8DC"/>
        <color rgb="FFD4D9B8"/>
      </colorScale>
    </cfRule>
  </conditionalFormatting>
  <conditionalFormatting sqref="C5:C13 C15:C18 C20:C23 C25:C28 C30:C35 C37:C41">
    <cfRule type="colorScale" priority="2">
      <colorScale>
        <cfvo type="min"/>
        <cfvo type="percentile" val="50"/>
        <cfvo type="max"/>
        <color rgb="FFF5F5F0"/>
        <color rgb="FFE8E8DC"/>
        <color rgb="FFD4D9B8"/>
      </colorScale>
    </cfRule>
  </conditionalFormatting>
  <conditionalFormatting sqref="D5:D13 D15:D18 D20:D23 D25:D28 D30:D35 D37:D41">
    <cfRule type="colorScale" priority="3">
      <colorScale>
        <cfvo type="min"/>
        <cfvo type="percentile" val="50"/>
        <cfvo type="max"/>
        <color rgb="FFF5F5F0"/>
        <color rgb="FFE8E8DC"/>
        <color rgb="FFD4D9B8"/>
      </colorScale>
    </cfRule>
  </conditionalFormatting>
  <conditionalFormatting sqref="E5:E13 E15:E18 E20:E23 E25:E28 E30:E35 E37:E41">
    <cfRule type="colorScale" priority="4">
      <colorScale>
        <cfvo type="min"/>
        <cfvo type="percentile" val="50"/>
        <cfvo type="max"/>
        <color rgb="FFF5F5F0"/>
        <color rgb="FFE8E8DC"/>
        <color rgb="FFD4D9B8"/>
      </colorScale>
    </cfRule>
  </conditionalFormatting>
  <conditionalFormatting sqref="F5:F13 F15:F18 F20:F23 F25:F28 F30:F35 F37:F41">
    <cfRule type="colorScale" priority="5">
      <colorScale>
        <cfvo type="min"/>
        <cfvo type="percentile" val="50"/>
        <cfvo type="max"/>
        <color rgb="FFF5F5F0"/>
        <color rgb="FFE8E8DC"/>
        <color rgb="FFD4D9B8"/>
      </colorScale>
    </cfRule>
  </conditionalFormatting>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C2833"/>
  </sheetPr>
  <dimension ref="A1:N23"/>
  <sheetViews>
    <sheetView showGridLines="0" zoomScale="79" zoomScaleNormal="79" workbookViewId="0">
      <pane ySplit="7" topLeftCell="A8" activePane="bottomLeft" state="frozen"/>
      <selection pane="bottomLeft" activeCell="C12" sqref="C12"/>
    </sheetView>
  </sheetViews>
  <sheetFormatPr defaultRowHeight="14.4" x14ac:dyDescent="0.3"/>
  <cols>
    <col min="1" max="1" width="26" customWidth="1"/>
    <col min="2" max="6" width="13" customWidth="1"/>
    <col min="7" max="7" width="0.88671875" style="48" customWidth="1"/>
    <col min="8" max="8" width="16.77734375" customWidth="1"/>
    <col min="9" max="14" width="13" customWidth="1"/>
  </cols>
  <sheetData>
    <row r="1" spans="1:14" ht="30" customHeight="1" thickBot="1" x14ac:dyDescent="0.35">
      <c r="A1" s="102" t="s">
        <v>201</v>
      </c>
      <c r="B1" s="102"/>
      <c r="C1" s="102"/>
      <c r="D1" s="102"/>
      <c r="E1" s="102"/>
      <c r="F1" s="102"/>
      <c r="G1" s="102"/>
      <c r="H1" s="102"/>
      <c r="I1" s="102"/>
      <c r="J1" s="102"/>
      <c r="K1" s="102"/>
      <c r="L1" s="102"/>
      <c r="M1" s="102"/>
      <c r="N1" s="102"/>
    </row>
    <row r="2" spans="1:14" ht="16.05" customHeight="1" x14ac:dyDescent="0.3">
      <c r="A2" s="106" t="s">
        <v>202</v>
      </c>
      <c r="B2" s="106"/>
      <c r="C2" s="106"/>
      <c r="D2" s="106"/>
      <c r="E2" s="106"/>
      <c r="F2" s="106"/>
      <c r="G2" s="106"/>
      <c r="H2" s="106"/>
      <c r="I2" s="106"/>
      <c r="J2" s="106"/>
      <c r="K2" s="106"/>
      <c r="L2" s="106"/>
      <c r="M2" s="106"/>
      <c r="N2" s="106"/>
    </row>
    <row r="4" spans="1:14" ht="19.95" customHeight="1" x14ac:dyDescent="0.3">
      <c r="A4" s="137" t="s">
        <v>203</v>
      </c>
      <c r="B4" s="129"/>
      <c r="C4" s="128" t="s">
        <v>204</v>
      </c>
      <c r="D4" s="129"/>
      <c r="E4" s="133" t="s">
        <v>205</v>
      </c>
      <c r="F4" s="129"/>
      <c r="G4" s="138" t="s">
        <v>206</v>
      </c>
      <c r="H4" s="129"/>
      <c r="I4" s="139" t="s">
        <v>207</v>
      </c>
      <c r="J4" s="129"/>
      <c r="K4" s="140" t="s">
        <v>208</v>
      </c>
      <c r="L4" s="129"/>
      <c r="M4" s="141" t="s">
        <v>209</v>
      </c>
      <c r="N4" s="129"/>
    </row>
    <row r="5" spans="1:14" ht="30" customHeight="1" x14ac:dyDescent="0.3">
      <c r="A5" s="134">
        <f>Raw_Data!F5</f>
        <v>255324</v>
      </c>
      <c r="B5" s="127"/>
      <c r="C5" s="130">
        <f>Raw_Data!F12</f>
        <v>48553</v>
      </c>
      <c r="D5" s="127"/>
      <c r="E5" s="131">
        <f>Raw_Data!F12/Raw_Data!F5</f>
        <v>0.1901623035828986</v>
      </c>
      <c r="F5" s="127"/>
      <c r="G5" s="135">
        <f>Raw_Data!F12/(Raw_Data!F16+Raw_Data!F17)</f>
        <v>0.51240027016758838</v>
      </c>
      <c r="H5" s="127"/>
      <c r="I5" s="136">
        <f>Raw_Data!F12*100/Raw_Data!F35</f>
        <v>13419.474309720572</v>
      </c>
      <c r="J5" s="127"/>
      <c r="K5" s="142">
        <f>Raw_Data!F18/(Raw_Data!F16+Raw_Data!F17)</f>
        <v>9.9117733969352861E-2</v>
      </c>
      <c r="L5" s="127"/>
      <c r="M5" s="126">
        <f>Raw_Data!F28</f>
        <v>48908</v>
      </c>
      <c r="N5" s="127"/>
    </row>
    <row r="6" spans="1:14" ht="4.95" customHeight="1" x14ac:dyDescent="0.3">
      <c r="A6" s="132"/>
      <c r="B6" s="97"/>
      <c r="C6" s="132"/>
      <c r="D6" s="97"/>
      <c r="E6" s="132"/>
      <c r="F6" s="97"/>
      <c r="G6" s="132"/>
      <c r="H6" s="97"/>
      <c r="I6" s="132"/>
      <c r="J6" s="97"/>
      <c r="K6" s="132"/>
      <c r="L6" s="97"/>
      <c r="M6" s="132"/>
      <c r="N6" s="97"/>
    </row>
    <row r="8" spans="1:14" ht="19.95" customHeight="1" x14ac:dyDescent="0.3">
      <c r="A8" s="94" t="s">
        <v>210</v>
      </c>
      <c r="B8" s="95"/>
      <c r="C8" s="95"/>
      <c r="D8" s="95"/>
      <c r="E8" s="95"/>
      <c r="F8" s="95"/>
      <c r="G8" s="95"/>
    </row>
    <row r="9" spans="1:14" ht="18" customHeight="1" x14ac:dyDescent="0.3">
      <c r="A9" s="2" t="s">
        <v>86</v>
      </c>
      <c r="B9" s="2" t="s">
        <v>31</v>
      </c>
      <c r="C9" s="2" t="s">
        <v>32</v>
      </c>
      <c r="D9" s="2" t="s">
        <v>33</v>
      </c>
      <c r="E9" s="2" t="s">
        <v>34</v>
      </c>
      <c r="F9" s="2" t="s">
        <v>35</v>
      </c>
    </row>
    <row r="10" spans="1:14" ht="16.95" customHeight="1" x14ac:dyDescent="0.3">
      <c r="A10" s="14" t="s">
        <v>78</v>
      </c>
      <c r="B10" s="15">
        <f>Raw_Data!B5</f>
        <v>164177</v>
      </c>
      <c r="C10" s="15">
        <f>Raw_Data!C5</f>
        <v>191754</v>
      </c>
      <c r="D10" s="15">
        <f>Raw_Data!D5</f>
        <v>225458</v>
      </c>
      <c r="E10" s="15">
        <f>Raw_Data!E5</f>
        <v>240893</v>
      </c>
      <c r="F10" s="15">
        <f>Raw_Data!F5</f>
        <v>255324</v>
      </c>
    </row>
    <row r="11" spans="1:14" ht="16.95" customHeight="1" x14ac:dyDescent="0.3">
      <c r="A11" s="16" t="s">
        <v>80</v>
      </c>
      <c r="B11" s="17">
        <f>Raw_Data!B12</f>
        <v>32430</v>
      </c>
      <c r="C11" s="17">
        <f>Raw_Data!C12</f>
        <v>38327</v>
      </c>
      <c r="D11" s="17">
        <f>Raw_Data!D12</f>
        <v>42147</v>
      </c>
      <c r="E11" s="17">
        <f>Raw_Data!E12</f>
        <v>45908</v>
      </c>
      <c r="F11" s="17">
        <f>Raw_Data!F12</f>
        <v>48553</v>
      </c>
    </row>
    <row r="12" spans="1:14" ht="16.95" customHeight="1" x14ac:dyDescent="0.3">
      <c r="A12" s="18" t="s">
        <v>211</v>
      </c>
      <c r="B12" s="15">
        <f>Raw_Data!B5-Raw_Data!B6</f>
        <v>45676</v>
      </c>
      <c r="C12" s="15">
        <f>Raw_Data!C5-Raw_Data!C6</f>
        <v>53041</v>
      </c>
      <c r="D12" s="15">
        <f>Raw_Data!D5-Raw_Data!D6</f>
        <v>56907</v>
      </c>
      <c r="E12" s="15">
        <f>Raw_Data!E5-Raw_Data!E6</f>
        <v>61997</v>
      </c>
      <c r="F12" s="15">
        <f>Raw_Data!F5-Raw_Data!F6</f>
        <v>64443</v>
      </c>
    </row>
    <row r="13" spans="1:14" ht="16.95" customHeight="1" x14ac:dyDescent="0.3">
      <c r="A13" s="19" t="s">
        <v>212</v>
      </c>
      <c r="B13" s="17">
        <f>Raw_Data!B28</f>
        <v>38802</v>
      </c>
      <c r="C13" s="17">
        <f>Raw_Data!C28</f>
        <v>39949</v>
      </c>
      <c r="D13" s="17">
        <f>Raw_Data!D28</f>
        <v>41965</v>
      </c>
      <c r="E13" s="17">
        <f>Raw_Data!E28</f>
        <v>44338</v>
      </c>
      <c r="F13" s="17">
        <f>Raw_Data!F28</f>
        <v>48908</v>
      </c>
    </row>
    <row r="14" spans="1:14" ht="16.95" customHeight="1" x14ac:dyDescent="0.3">
      <c r="A14" s="18" t="s">
        <v>213</v>
      </c>
      <c r="B14" s="15">
        <f>Raw_Data!B20</f>
        <v>129992</v>
      </c>
      <c r="C14" s="15">
        <f>Raw_Data!C20</f>
        <v>140924</v>
      </c>
      <c r="D14" s="15">
        <f>Raw_Data!D20</f>
        <v>142859</v>
      </c>
      <c r="E14" s="15">
        <f>Raw_Data!E20</f>
        <v>145472</v>
      </c>
      <c r="F14" s="15">
        <f>Raw_Data!F20</f>
        <v>158649</v>
      </c>
    </row>
    <row r="15" spans="1:14" ht="16.95" customHeight="1" x14ac:dyDescent="0.3">
      <c r="A15" s="19" t="s">
        <v>214</v>
      </c>
      <c r="B15" s="17">
        <f>Raw_Data!B18</f>
        <v>7795</v>
      </c>
      <c r="C15" s="17">
        <f>Raw_Data!C18</f>
        <v>7818</v>
      </c>
      <c r="D15" s="17">
        <f>Raw_Data!D18</f>
        <v>7688</v>
      </c>
      <c r="E15" s="17">
        <f>Raw_Data!E18</f>
        <v>8021</v>
      </c>
      <c r="F15" s="17">
        <f>Raw_Data!F18</f>
        <v>9392</v>
      </c>
    </row>
    <row r="17" spans="1:7" ht="19.95" customHeight="1" x14ac:dyDescent="0.3">
      <c r="A17" s="94" t="s">
        <v>215</v>
      </c>
      <c r="B17" s="95"/>
      <c r="C17" s="95"/>
      <c r="D17" s="95"/>
      <c r="E17" s="95"/>
      <c r="F17" s="95"/>
      <c r="G17" s="95"/>
    </row>
    <row r="18" spans="1:7" ht="18" customHeight="1" x14ac:dyDescent="0.3">
      <c r="A18" s="2" t="s">
        <v>86</v>
      </c>
      <c r="B18" s="2" t="s">
        <v>31</v>
      </c>
      <c r="C18" s="2" t="s">
        <v>32</v>
      </c>
      <c r="D18" s="2" t="s">
        <v>33</v>
      </c>
      <c r="E18" s="2" t="s">
        <v>34</v>
      </c>
      <c r="F18" s="2" t="s">
        <v>35</v>
      </c>
    </row>
    <row r="19" spans="1:7" ht="16.95" customHeight="1" x14ac:dyDescent="0.3">
      <c r="A19" s="18" t="s">
        <v>41</v>
      </c>
      <c r="B19" s="20">
        <f>Raw_Data!B12/Raw_Data!B5</f>
        <v>0.19753071380278603</v>
      </c>
      <c r="C19" s="20">
        <f>Raw_Data!C12/Raw_Data!C5</f>
        <v>0.19987588264130082</v>
      </c>
      <c r="D19" s="20">
        <f>Raw_Data!D12/Raw_Data!D5</f>
        <v>0.18693947431450647</v>
      </c>
      <c r="E19" s="20">
        <f>Raw_Data!E12/Raw_Data!E5</f>
        <v>0.19057423835478823</v>
      </c>
      <c r="F19" s="20">
        <f>Raw_Data!F12/Raw_Data!F5</f>
        <v>0.1901623035828986</v>
      </c>
    </row>
    <row r="20" spans="1:7" ht="16.95" customHeight="1" x14ac:dyDescent="0.3">
      <c r="A20" s="19" t="s">
        <v>216</v>
      </c>
      <c r="B20" s="22">
        <f>Raw_Data!B12/(Raw_Data!B16+Raw_Data!B17)</f>
        <v>0.37520391517128876</v>
      </c>
      <c r="C20" s="22">
        <f>Raw_Data!C12/(Raw_Data!C16+Raw_Data!C17)</f>
        <v>0.42996892493745725</v>
      </c>
      <c r="D20" s="22">
        <f>Raw_Data!D12/(Raw_Data!D16+Raw_Data!D17)</f>
        <v>0.46610413164646552</v>
      </c>
      <c r="E20" s="22">
        <f>Raw_Data!E12/(Raw_Data!E16+Raw_Data!E17)</f>
        <v>0.50733238294157301</v>
      </c>
      <c r="F20" s="22">
        <f>Raw_Data!F12/(Raw_Data!F16+Raw_Data!F17)</f>
        <v>0.51240027016758838</v>
      </c>
    </row>
    <row r="21" spans="1:7" ht="16.95" customHeight="1" x14ac:dyDescent="0.3">
      <c r="A21" s="18" t="s">
        <v>207</v>
      </c>
      <c r="B21" s="44">
        <f>Raw_Data!B12*100/Raw_Data!B35</f>
        <v>8766.9973777405303</v>
      </c>
      <c r="C21" s="44">
        <f>Raw_Data!C12*100/Raw_Data!C35</f>
        <v>10474.433603891666</v>
      </c>
      <c r="D21" s="44">
        <f>Raw_Data!D12*100/Raw_Data!D35</f>
        <v>11518.40616545052</v>
      </c>
      <c r="E21" s="44">
        <f>Raw_Data!E12*100/Raw_Data!E35</f>
        <v>12688.427627760426</v>
      </c>
      <c r="F21" s="44">
        <f>Raw_Data!F12*100/Raw_Data!F35</f>
        <v>13419.474309720572</v>
      </c>
    </row>
    <row r="22" spans="1:7" ht="16.95" customHeight="1" x14ac:dyDescent="0.3">
      <c r="A22" s="19" t="s">
        <v>208</v>
      </c>
      <c r="B22" s="45">
        <f>Raw_Data!B18/(Raw_Data!B16+Raw_Data!B17)</f>
        <v>9.0185461571390554E-2</v>
      </c>
      <c r="C22" s="45">
        <f>Raw_Data!C18/(Raw_Data!C16+Raw_Data!C17)</f>
        <v>8.7705718035876554E-2</v>
      </c>
      <c r="D22" s="45">
        <f>Raw_Data!D18/(Raw_Data!D16+Raw_Data!D17)</f>
        <v>8.5021675661328858E-2</v>
      </c>
      <c r="E22" s="45">
        <f>Raw_Data!E18/(Raw_Data!E16+Raw_Data!E17)</f>
        <v>8.8640608250726602E-2</v>
      </c>
      <c r="F22" s="45">
        <f>Raw_Data!F18/(Raw_Data!F16+Raw_Data!F17)</f>
        <v>9.9117733969352861E-2</v>
      </c>
    </row>
    <row r="23" spans="1:7" ht="16.95" customHeight="1" x14ac:dyDescent="0.3">
      <c r="A23" s="18" t="s">
        <v>217</v>
      </c>
      <c r="B23" s="20">
        <f>IFERROR((Raw_Data!B5-Raw_Data!A5)/Raw_Data!A5,-1)</f>
        <v>-1</v>
      </c>
      <c r="C23" s="20">
        <f>IFERROR((Raw_Data!C5-Raw_Data!B5)/Raw_Data!B5,-1)</f>
        <v>0.16797115308478044</v>
      </c>
      <c r="D23" s="20">
        <f>IFERROR((Raw_Data!D5-Raw_Data!C5)/Raw_Data!C5,-1)</f>
        <v>0.17576686796624844</v>
      </c>
      <c r="E23" s="20">
        <f>IFERROR((Raw_Data!E5-Raw_Data!D5)/Raw_Data!D5,-1)</f>
        <v>6.8460644554639891E-2</v>
      </c>
      <c r="F23" s="20">
        <f>IFERROR((Raw_Data!F5-Raw_Data!E5)/Raw_Data!E5,-1)</f>
        <v>5.9906265437351856E-2</v>
      </c>
    </row>
  </sheetData>
  <mergeCells count="25">
    <mergeCell ref="A1:N1"/>
    <mergeCell ref="E4:F4"/>
    <mergeCell ref="M6:N6"/>
    <mergeCell ref="A2:N2"/>
    <mergeCell ref="A5:B5"/>
    <mergeCell ref="G5:H5"/>
    <mergeCell ref="K6:L6"/>
    <mergeCell ref="I5:J5"/>
    <mergeCell ref="A4:B4"/>
    <mergeCell ref="G4:H4"/>
    <mergeCell ref="C6:D6"/>
    <mergeCell ref="I6:J6"/>
    <mergeCell ref="I4:J4"/>
    <mergeCell ref="K4:L4"/>
    <mergeCell ref="M4:N4"/>
    <mergeCell ref="K5:L5"/>
    <mergeCell ref="M5:N5"/>
    <mergeCell ref="C4:D4"/>
    <mergeCell ref="A17:G17"/>
    <mergeCell ref="A8:G8"/>
    <mergeCell ref="C5:D5"/>
    <mergeCell ref="E5:F5"/>
    <mergeCell ref="A6:B6"/>
    <mergeCell ref="G6:H6"/>
    <mergeCell ref="E6:F6"/>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D38A-BA7D-4241-97C1-F37EBFE10210}">
  <sheetPr>
    <tabColor theme="6" tint="-0.499984740745262"/>
  </sheetPr>
  <dimension ref="A1:H20"/>
  <sheetViews>
    <sheetView showGridLines="0" zoomScale="63" zoomScaleNormal="63" workbookViewId="0">
      <selection activeCell="D18" sqref="D18"/>
    </sheetView>
  </sheetViews>
  <sheetFormatPr defaultRowHeight="14.4" x14ac:dyDescent="0.3"/>
  <cols>
    <col min="1" max="1" width="12.77734375" bestFit="1" customWidth="1"/>
    <col min="2" max="2" width="17.21875" bestFit="1" customWidth="1"/>
    <col min="3" max="3" width="8.44140625" bestFit="1" customWidth="1"/>
    <col min="4" max="4" width="16.109375" bestFit="1" customWidth="1"/>
    <col min="5" max="5" width="16.5546875" bestFit="1" customWidth="1"/>
    <col min="6" max="6" width="15.33203125" bestFit="1" customWidth="1"/>
    <col min="7" max="7" width="6.44140625" bestFit="1" customWidth="1"/>
    <col min="8" max="8" width="11.77734375" bestFit="1" customWidth="1"/>
  </cols>
  <sheetData>
    <row r="1" spans="1:8" x14ac:dyDescent="0.3">
      <c r="A1" s="92" t="s">
        <v>232</v>
      </c>
      <c r="B1" s="93"/>
      <c r="C1" s="93"/>
      <c r="D1" s="93"/>
      <c r="E1" s="93"/>
    </row>
    <row r="2" spans="1:8" x14ac:dyDescent="0.3">
      <c r="A2" s="93"/>
      <c r="B2" s="93"/>
      <c r="C2" s="93"/>
      <c r="D2" s="93"/>
      <c r="E2" s="93"/>
    </row>
    <row r="4" spans="1:8" x14ac:dyDescent="0.3">
      <c r="A4" s="49">
        <f>GETPIVOTDATA("Value",$A$17,"Year","FY2025","Metric","Revenue (Rs Cr)")</f>
        <v>255324</v>
      </c>
      <c r="B4" s="49"/>
      <c r="C4" s="48"/>
      <c r="D4" s="49">
        <f>GETPIVOTDATA("Value",$A$17,"Year","FY2025","Metric","Net Profit (Rs Cr)")</f>
        <v>48553</v>
      </c>
      <c r="E4" s="51"/>
      <c r="F4" s="48"/>
      <c r="G4" s="51"/>
      <c r="H4" s="49">
        <f>GETPIVOTDATA("Value",$A$17,"Year","FY2025","Metric","Net Profit Margin")</f>
        <v>19.02</v>
      </c>
    </row>
    <row r="5" spans="1:8" x14ac:dyDescent="0.3">
      <c r="A5" s="49"/>
      <c r="B5" s="49"/>
      <c r="C5" s="50"/>
      <c r="D5" s="49"/>
      <c r="E5" s="49"/>
      <c r="F5" s="50"/>
      <c r="G5" s="51"/>
      <c r="H5" s="51"/>
    </row>
    <row r="6" spans="1:8" x14ac:dyDescent="0.3">
      <c r="A6" s="49"/>
      <c r="B6" s="49"/>
      <c r="C6" s="50"/>
      <c r="D6" s="49"/>
      <c r="E6" s="49"/>
      <c r="F6" s="50"/>
      <c r="G6" s="51"/>
      <c r="H6" s="51"/>
    </row>
    <row r="7" spans="1:8" x14ac:dyDescent="0.3">
      <c r="A7" s="91" t="s">
        <v>226</v>
      </c>
      <c r="B7" s="91"/>
      <c r="C7" s="48"/>
      <c r="D7" s="91" t="s">
        <v>227</v>
      </c>
      <c r="E7" s="91"/>
      <c r="G7" s="91" t="s">
        <v>228</v>
      </c>
      <c r="H7" s="91"/>
    </row>
    <row r="8" spans="1:8" x14ac:dyDescent="0.3">
      <c r="A8" s="49">
        <f>GETPIVOTDATA("Value",$A$17,"Year","FY2025","Metric","EPS (Rs)")</f>
        <v>134.19</v>
      </c>
      <c r="B8" s="49"/>
      <c r="C8" s="48"/>
      <c r="D8" s="49">
        <f>GETPIVOTDATA("Value",$A$17,"Year","FY2025","Metric","ROE")</f>
        <v>51.24</v>
      </c>
      <c r="E8" s="51"/>
      <c r="F8" s="50"/>
      <c r="G8" s="51"/>
      <c r="H8" s="49">
        <f>GETPIVOTDATA("Value",$A$17,"Year","FY2025","Metric","DE Ratio")</f>
        <v>9.9000000000000005E-2</v>
      </c>
    </row>
    <row r="9" spans="1:8" x14ac:dyDescent="0.3">
      <c r="A9" s="49"/>
      <c r="B9" s="49"/>
      <c r="C9" s="50"/>
      <c r="D9" s="49"/>
      <c r="E9" s="49"/>
      <c r="F9" s="50"/>
      <c r="G9" s="51"/>
      <c r="H9" s="51"/>
    </row>
    <row r="10" spans="1:8" x14ac:dyDescent="0.3">
      <c r="A10" s="49"/>
      <c r="B10" s="49"/>
      <c r="C10" s="50"/>
      <c r="D10" s="49"/>
      <c r="E10" s="49"/>
      <c r="F10" s="50"/>
      <c r="G10" s="51"/>
      <c r="H10" s="51"/>
    </row>
    <row r="11" spans="1:8" x14ac:dyDescent="0.3">
      <c r="A11" s="91" t="s">
        <v>229</v>
      </c>
      <c r="B11" s="91"/>
      <c r="C11" s="48"/>
      <c r="D11" s="91" t="s">
        <v>230</v>
      </c>
      <c r="E11" s="91"/>
      <c r="G11" s="91" t="s">
        <v>231</v>
      </c>
      <c r="H11" s="91"/>
    </row>
    <row r="17" spans="1:8" x14ac:dyDescent="0.3">
      <c r="A17" s="46" t="s">
        <v>225</v>
      </c>
      <c r="B17" s="46" t="s">
        <v>224</v>
      </c>
    </row>
    <row r="18" spans="1:8" x14ac:dyDescent="0.3">
      <c r="A18" s="46" t="s">
        <v>218</v>
      </c>
      <c r="B18" t="s">
        <v>222</v>
      </c>
      <c r="C18" t="s">
        <v>221</v>
      </c>
      <c r="D18" t="s">
        <v>220</v>
      </c>
      <c r="E18" t="s">
        <v>41</v>
      </c>
      <c r="F18" t="s">
        <v>219</v>
      </c>
      <c r="G18" t="s">
        <v>216</v>
      </c>
      <c r="H18" t="s">
        <v>223</v>
      </c>
    </row>
    <row r="19" spans="1:8" x14ac:dyDescent="0.3">
      <c r="A19" s="47" t="s">
        <v>35</v>
      </c>
      <c r="B19" s="143">
        <v>9.9000000000000005E-2</v>
      </c>
      <c r="C19" s="143">
        <v>134.19</v>
      </c>
      <c r="D19" s="143">
        <v>48553</v>
      </c>
      <c r="E19" s="143">
        <v>19.02</v>
      </c>
      <c r="F19" s="143">
        <v>255324</v>
      </c>
      <c r="G19" s="143">
        <v>51.24</v>
      </c>
      <c r="H19" s="143">
        <v>304081.549</v>
      </c>
    </row>
    <row r="20" spans="1:8" x14ac:dyDescent="0.3">
      <c r="A20" s="47" t="s">
        <v>223</v>
      </c>
      <c r="B20" s="143">
        <v>9.9000000000000005E-2</v>
      </c>
      <c r="C20" s="143">
        <v>134.19</v>
      </c>
      <c r="D20" s="143">
        <v>48553</v>
      </c>
      <c r="E20" s="143">
        <v>19.02</v>
      </c>
      <c r="F20" s="143">
        <v>255324</v>
      </c>
      <c r="G20" s="143">
        <v>51.24</v>
      </c>
      <c r="H20" s="143">
        <v>304081.549</v>
      </c>
    </row>
  </sheetData>
  <mergeCells count="7">
    <mergeCell ref="G7:H7"/>
    <mergeCell ref="G11:H11"/>
    <mergeCell ref="D11:E11"/>
    <mergeCell ref="A11:B11"/>
    <mergeCell ref="A1:E2"/>
    <mergeCell ref="A7:B7"/>
    <mergeCell ref="D7:E7"/>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Raw_Data</vt:lpstr>
      <vt:lpstr>Strategic_Insights</vt:lpstr>
      <vt:lpstr>Risk_Flags</vt:lpstr>
      <vt:lpstr>Statistical_Analysis </vt:lpstr>
      <vt:lpstr>Trend_Analysis</vt:lpstr>
      <vt:lpstr>Ratio_Analysis</vt:lpstr>
      <vt:lpstr>KPI_Dashboard</vt:lpstr>
      <vt:lpstr>KPI_Overview</vt:lpstr>
      <vt:lpstr>KPI_Overview!Print_Area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 Agarwal</cp:lastModifiedBy>
  <cp:lastPrinted>2026-04-15T13:21:51Z</cp:lastPrinted>
  <dcterms:created xsi:type="dcterms:W3CDTF">2026-03-28T19:51:24Z</dcterms:created>
  <dcterms:modified xsi:type="dcterms:W3CDTF">2026-05-07T13:30:01Z</dcterms:modified>
</cp:coreProperties>
</file>